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upreme/Downloads/"/>
    </mc:Choice>
  </mc:AlternateContent>
  <xr:revisionPtr revIDLastSave="0" documentId="8_{E7C45B7A-FCA4-7B42-B80A-A49F3EB9004F}" xr6:coauthVersionLast="47" xr6:coauthVersionMax="47" xr10:uidLastSave="{00000000-0000-0000-0000-000000000000}"/>
  <bookViews>
    <workbookView xWindow="0" yWindow="0" windowWidth="38400" windowHeight="21600" activeTab="2" xr2:uid="{00000000-000D-0000-FFFF-FFFF00000000}"/>
  </bookViews>
  <sheets>
    <sheet name="System Parameters (Sensor)" sheetId="1" r:id="rId1"/>
    <sheet name="Sensitivity Analysis (Sensor)" sheetId="2" r:id="rId2"/>
    <sheet name="System Parameters Device" sheetId="3" r:id="rId3"/>
    <sheet name="Sensitivity Analysis (Devi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8" i="4" l="1"/>
  <c r="U118" i="4"/>
  <c r="T118" i="4"/>
  <c r="S118" i="4"/>
  <c r="R118" i="4"/>
  <c r="Q118" i="4"/>
  <c r="P118" i="4"/>
  <c r="O118" i="4"/>
  <c r="D118" i="4"/>
  <c r="C118" i="4"/>
  <c r="B118" i="4"/>
  <c r="A118" i="4"/>
  <c r="V117" i="4"/>
  <c r="U117" i="4"/>
  <c r="T117" i="4"/>
  <c r="S117" i="4"/>
  <c r="R117" i="4"/>
  <c r="Q117" i="4"/>
  <c r="P117" i="4"/>
  <c r="O117" i="4"/>
  <c r="D117" i="4"/>
  <c r="C117" i="4"/>
  <c r="B117" i="4"/>
  <c r="A117" i="4"/>
  <c r="V116" i="4"/>
  <c r="U116" i="4"/>
  <c r="T116" i="4"/>
  <c r="S116" i="4"/>
  <c r="R116" i="4"/>
  <c r="Q116" i="4"/>
  <c r="P116" i="4"/>
  <c r="O116" i="4"/>
  <c r="D116" i="4"/>
  <c r="C116" i="4"/>
  <c r="B116" i="4"/>
  <c r="A116" i="4"/>
  <c r="V115" i="4"/>
  <c r="U115" i="4"/>
  <c r="T115" i="4"/>
  <c r="S115" i="4"/>
  <c r="R115" i="4"/>
  <c r="Q115" i="4"/>
  <c r="P115" i="4"/>
  <c r="O115" i="4"/>
  <c r="D115" i="4"/>
  <c r="C115" i="4"/>
  <c r="B115" i="4"/>
  <c r="A115" i="4"/>
  <c r="V114" i="4"/>
  <c r="U114" i="4"/>
  <c r="T114" i="4"/>
  <c r="S114" i="4"/>
  <c r="R114" i="4"/>
  <c r="Q114" i="4"/>
  <c r="P114" i="4"/>
  <c r="O114" i="4"/>
  <c r="D114" i="4"/>
  <c r="C114" i="4"/>
  <c r="B114" i="4"/>
  <c r="A114" i="4"/>
  <c r="V113" i="4"/>
  <c r="U113" i="4"/>
  <c r="T113" i="4"/>
  <c r="S113" i="4"/>
  <c r="R113" i="4"/>
  <c r="Q113" i="4"/>
  <c r="P113" i="4"/>
  <c r="O113" i="4"/>
  <c r="D113" i="4"/>
  <c r="C113" i="4"/>
  <c r="B113" i="4"/>
  <c r="A113" i="4"/>
  <c r="V112" i="4"/>
  <c r="U112" i="4"/>
  <c r="T112" i="4"/>
  <c r="S112" i="4"/>
  <c r="R112" i="4"/>
  <c r="Q112" i="4"/>
  <c r="P112" i="4"/>
  <c r="O112" i="4"/>
  <c r="D112" i="4"/>
  <c r="C112" i="4"/>
  <c r="B112" i="4"/>
  <c r="A112" i="4"/>
  <c r="V111" i="4"/>
  <c r="U111" i="4"/>
  <c r="T111" i="4"/>
  <c r="S111" i="4"/>
  <c r="R111" i="4"/>
  <c r="Q111" i="4"/>
  <c r="P111" i="4"/>
  <c r="O111" i="4"/>
  <c r="D111" i="4"/>
  <c r="C111" i="4"/>
  <c r="B111" i="4"/>
  <c r="A111" i="4"/>
  <c r="V110" i="4"/>
  <c r="U110" i="4"/>
  <c r="T110" i="4"/>
  <c r="S110" i="4"/>
  <c r="R110" i="4"/>
  <c r="Q110" i="4"/>
  <c r="P110" i="4"/>
  <c r="O110" i="4"/>
  <c r="D110" i="4"/>
  <c r="C110" i="4"/>
  <c r="B110" i="4"/>
  <c r="A110" i="4"/>
  <c r="V109" i="4"/>
  <c r="U109" i="4"/>
  <c r="T109" i="4"/>
  <c r="S109" i="4"/>
  <c r="R109" i="4"/>
  <c r="Q109" i="4"/>
  <c r="P109" i="4"/>
  <c r="O109" i="4"/>
  <c r="D109" i="4"/>
  <c r="C109" i="4"/>
  <c r="B109" i="4"/>
  <c r="A109" i="4"/>
  <c r="V108" i="4"/>
  <c r="U108" i="4"/>
  <c r="T108" i="4"/>
  <c r="S108" i="4"/>
  <c r="R108" i="4"/>
  <c r="Q108" i="4"/>
  <c r="P108" i="4"/>
  <c r="O108" i="4"/>
  <c r="D108" i="4"/>
  <c r="C108" i="4"/>
  <c r="B108" i="4"/>
  <c r="A108" i="4"/>
  <c r="V107" i="4"/>
  <c r="U107" i="4"/>
  <c r="T107" i="4"/>
  <c r="S107" i="4"/>
  <c r="R107" i="4"/>
  <c r="Q107" i="4"/>
  <c r="P107" i="4"/>
  <c r="O107" i="4"/>
  <c r="D107" i="4"/>
  <c r="C107" i="4"/>
  <c r="B107" i="4"/>
  <c r="A107" i="4"/>
  <c r="V106" i="4"/>
  <c r="U106" i="4"/>
  <c r="T106" i="4"/>
  <c r="S106" i="4"/>
  <c r="R106" i="4"/>
  <c r="Q106" i="4"/>
  <c r="P106" i="4"/>
  <c r="O106" i="4"/>
  <c r="D106" i="4"/>
  <c r="C106" i="4"/>
  <c r="B106" i="4"/>
  <c r="A106" i="4"/>
  <c r="V105" i="4"/>
  <c r="U105" i="4"/>
  <c r="T105" i="4"/>
  <c r="S105" i="4"/>
  <c r="R105" i="4"/>
  <c r="Q105" i="4"/>
  <c r="P105" i="4"/>
  <c r="O105" i="4"/>
  <c r="D105" i="4"/>
  <c r="C105" i="4"/>
  <c r="B105" i="4"/>
  <c r="A105" i="4"/>
  <c r="V104" i="4"/>
  <c r="U104" i="4"/>
  <c r="T104" i="4"/>
  <c r="S104" i="4"/>
  <c r="R104" i="4"/>
  <c r="Q104" i="4"/>
  <c r="P104" i="4"/>
  <c r="O104" i="4"/>
  <c r="D104" i="4"/>
  <c r="C104" i="4"/>
  <c r="B104" i="4"/>
  <c r="A104" i="4"/>
  <c r="V103" i="4"/>
  <c r="U103" i="4"/>
  <c r="T103" i="4"/>
  <c r="S103" i="4"/>
  <c r="R103" i="4"/>
  <c r="Q103" i="4"/>
  <c r="P103" i="4"/>
  <c r="O103" i="4"/>
  <c r="D103" i="4"/>
  <c r="C103" i="4"/>
  <c r="B103" i="4"/>
  <c r="A103" i="4"/>
  <c r="V102" i="4"/>
  <c r="U102" i="4"/>
  <c r="T102" i="4"/>
  <c r="S102" i="4"/>
  <c r="R102" i="4"/>
  <c r="Q102" i="4"/>
  <c r="P102" i="4"/>
  <c r="O102" i="4"/>
  <c r="D102" i="4"/>
  <c r="C102" i="4"/>
  <c r="B102" i="4"/>
  <c r="A102" i="4"/>
  <c r="V101" i="4"/>
  <c r="U101" i="4"/>
  <c r="T101" i="4"/>
  <c r="S101" i="4"/>
  <c r="R101" i="4"/>
  <c r="Q101" i="4"/>
  <c r="P101" i="4"/>
  <c r="O101" i="4"/>
  <c r="D101" i="4"/>
  <c r="C101" i="4"/>
  <c r="B101" i="4"/>
  <c r="A101" i="4"/>
  <c r="V100" i="4"/>
  <c r="U100" i="4"/>
  <c r="T100" i="4"/>
  <c r="S100" i="4"/>
  <c r="R100" i="4"/>
  <c r="Q100" i="4"/>
  <c r="P100" i="4"/>
  <c r="O100" i="4"/>
  <c r="D100" i="4"/>
  <c r="C100" i="4"/>
  <c r="B100" i="4"/>
  <c r="A100" i="4"/>
  <c r="V99" i="4"/>
  <c r="U99" i="4"/>
  <c r="T99" i="4"/>
  <c r="S99" i="4"/>
  <c r="R99" i="4"/>
  <c r="Q99" i="4"/>
  <c r="P99" i="4"/>
  <c r="C99" i="4"/>
  <c r="B99" i="4"/>
  <c r="V98" i="4"/>
  <c r="U98" i="4"/>
  <c r="T98" i="4"/>
  <c r="S98" i="4"/>
  <c r="R98" i="4"/>
  <c r="Q98" i="4"/>
  <c r="P98" i="4"/>
  <c r="C98" i="4"/>
  <c r="B98" i="4"/>
  <c r="V97" i="4"/>
  <c r="U97" i="4"/>
  <c r="T97" i="4"/>
  <c r="S97" i="4"/>
  <c r="R97" i="4"/>
  <c r="Q97" i="4"/>
  <c r="P97" i="4"/>
  <c r="O97" i="4"/>
  <c r="D97" i="4"/>
  <c r="C97" i="4"/>
  <c r="B97" i="4"/>
  <c r="A97" i="4"/>
  <c r="V96" i="4"/>
  <c r="U96" i="4"/>
  <c r="T96" i="4"/>
  <c r="S96" i="4"/>
  <c r="R96" i="4"/>
  <c r="Q96" i="4"/>
  <c r="P96" i="4"/>
  <c r="C96" i="4"/>
  <c r="A96" i="4"/>
  <c r="V95" i="4"/>
  <c r="U95" i="4"/>
  <c r="T95" i="4"/>
  <c r="S95" i="4"/>
  <c r="R95" i="4"/>
  <c r="Q95" i="4"/>
  <c r="P95" i="4"/>
  <c r="C95" i="4"/>
  <c r="A95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A94" i="4"/>
  <c r="V93" i="4"/>
  <c r="U93" i="4"/>
  <c r="T93" i="4"/>
  <c r="S93" i="4"/>
  <c r="R93" i="4"/>
  <c r="Q93" i="4"/>
  <c r="P93" i="4"/>
  <c r="C93" i="4"/>
  <c r="A93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A92" i="4"/>
  <c r="V91" i="4"/>
  <c r="U91" i="4"/>
  <c r="T91" i="4"/>
  <c r="S91" i="4"/>
  <c r="R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A91" i="4"/>
  <c r="V90" i="4"/>
  <c r="U90" i="4"/>
  <c r="T90" i="4"/>
  <c r="S90" i="4"/>
  <c r="R90" i="4"/>
  <c r="C90" i="4"/>
  <c r="V89" i="4"/>
  <c r="U89" i="4"/>
  <c r="T89" i="4"/>
  <c r="S89" i="4"/>
  <c r="R89" i="4"/>
  <c r="C89" i="4"/>
  <c r="V88" i="4"/>
  <c r="U88" i="4"/>
  <c r="T88" i="4"/>
  <c r="S88" i="4"/>
  <c r="R88" i="4"/>
  <c r="C88" i="4"/>
  <c r="A88" i="4"/>
  <c r="V87" i="4"/>
  <c r="U87" i="4"/>
  <c r="T87" i="4"/>
  <c r="S87" i="4"/>
  <c r="R87" i="4"/>
  <c r="C87" i="4"/>
  <c r="B87" i="4"/>
  <c r="A87" i="4"/>
  <c r="V86" i="4"/>
  <c r="U86" i="4"/>
  <c r="T86" i="4"/>
  <c r="S86" i="4"/>
  <c r="R86" i="4"/>
  <c r="Q86" i="4"/>
  <c r="P86" i="4"/>
  <c r="O86" i="4"/>
  <c r="D86" i="4"/>
  <c r="C86" i="4"/>
  <c r="B86" i="4"/>
  <c r="A86" i="4"/>
  <c r="V85" i="4"/>
  <c r="U85" i="4"/>
  <c r="T85" i="4"/>
  <c r="S85" i="4"/>
  <c r="R85" i="4"/>
  <c r="Q85" i="4"/>
  <c r="P85" i="4"/>
  <c r="O85" i="4"/>
  <c r="D85" i="4"/>
  <c r="C85" i="4"/>
  <c r="B85" i="4"/>
  <c r="A85" i="4"/>
  <c r="V84" i="4"/>
  <c r="U84" i="4"/>
  <c r="T84" i="4"/>
  <c r="S84" i="4"/>
  <c r="R84" i="4"/>
  <c r="Q84" i="4"/>
  <c r="P84" i="4"/>
  <c r="O84" i="4"/>
  <c r="D84" i="4"/>
  <c r="C84" i="4"/>
  <c r="B84" i="4"/>
  <c r="A84" i="4"/>
  <c r="V83" i="4"/>
  <c r="U83" i="4"/>
  <c r="T83" i="4"/>
  <c r="S83" i="4"/>
  <c r="R83" i="4"/>
  <c r="Q83" i="4"/>
  <c r="P83" i="4"/>
  <c r="O83" i="4"/>
  <c r="D83" i="4"/>
  <c r="C83" i="4"/>
  <c r="B83" i="4"/>
  <c r="A83" i="4"/>
  <c r="W82" i="4"/>
  <c r="V82" i="4"/>
  <c r="U82" i="4"/>
  <c r="T82" i="4"/>
  <c r="D82" i="4"/>
  <c r="C82" i="4"/>
  <c r="B82" i="4"/>
  <c r="A82" i="4"/>
  <c r="W81" i="4"/>
  <c r="V81" i="4"/>
  <c r="U81" i="4"/>
  <c r="T81" i="4"/>
  <c r="D81" i="4"/>
  <c r="C81" i="4"/>
  <c r="B81" i="4"/>
  <c r="A81" i="4"/>
  <c r="W80" i="4"/>
  <c r="V80" i="4"/>
  <c r="U80" i="4"/>
  <c r="T80" i="4"/>
  <c r="D80" i="4"/>
  <c r="C80" i="4"/>
  <c r="B80" i="4"/>
  <c r="B93" i="4" s="1"/>
  <c r="A80" i="4"/>
  <c r="W79" i="4"/>
  <c r="V79" i="4"/>
  <c r="U79" i="4"/>
  <c r="T79" i="4"/>
  <c r="D79" i="4"/>
  <c r="C79" i="4"/>
  <c r="B79" i="4"/>
  <c r="A79" i="4"/>
  <c r="W78" i="4"/>
  <c r="V78" i="4"/>
  <c r="U78" i="4"/>
  <c r="T78" i="4"/>
  <c r="D78" i="4"/>
  <c r="C78" i="4"/>
  <c r="B78" i="4"/>
  <c r="A78" i="4"/>
  <c r="W77" i="4"/>
  <c r="V77" i="4"/>
  <c r="U77" i="4"/>
  <c r="T77" i="4"/>
  <c r="D77" i="4"/>
  <c r="C77" i="4"/>
  <c r="B77" i="4"/>
  <c r="A77" i="4"/>
  <c r="W76" i="4"/>
  <c r="V76" i="4"/>
  <c r="U76" i="4"/>
  <c r="T76" i="4"/>
  <c r="H76" i="4"/>
  <c r="C76" i="4"/>
  <c r="B76" i="4"/>
  <c r="O76" i="4" s="1"/>
  <c r="A76" i="4"/>
  <c r="W75" i="4"/>
  <c r="V75" i="4"/>
  <c r="U75" i="4"/>
  <c r="T75" i="4"/>
  <c r="O75" i="4"/>
  <c r="M75" i="4"/>
  <c r="K75" i="4"/>
  <c r="G75" i="4"/>
  <c r="E75" i="4"/>
  <c r="C75" i="4"/>
  <c r="B75" i="4"/>
  <c r="J75" i="4" s="1"/>
  <c r="A75" i="4"/>
  <c r="W74" i="4"/>
  <c r="V74" i="4"/>
  <c r="U74" i="4"/>
  <c r="T74" i="4"/>
  <c r="N74" i="4"/>
  <c r="H74" i="4"/>
  <c r="F74" i="4"/>
  <c r="C74" i="4"/>
  <c r="B74" i="4"/>
  <c r="M74" i="4" s="1"/>
  <c r="A74" i="4"/>
  <c r="W73" i="4"/>
  <c r="V73" i="4"/>
  <c r="U73" i="4"/>
  <c r="T73" i="4"/>
  <c r="O73" i="4"/>
  <c r="N73" i="4"/>
  <c r="M73" i="4"/>
  <c r="L73" i="4"/>
  <c r="K73" i="4"/>
  <c r="I73" i="4"/>
  <c r="H73" i="4"/>
  <c r="G73" i="4"/>
  <c r="F73" i="4"/>
  <c r="E73" i="4"/>
  <c r="D73" i="4"/>
  <c r="C73" i="4"/>
  <c r="B73" i="4"/>
  <c r="J73" i="4" s="1"/>
  <c r="A73" i="4"/>
  <c r="W72" i="4"/>
  <c r="V72" i="4"/>
  <c r="U72" i="4"/>
  <c r="T72" i="4"/>
  <c r="N72" i="4"/>
  <c r="L72" i="4"/>
  <c r="K72" i="4"/>
  <c r="H72" i="4"/>
  <c r="F72" i="4"/>
  <c r="D72" i="4"/>
  <c r="C72" i="4"/>
  <c r="B72" i="4"/>
  <c r="J72" i="4" s="1"/>
  <c r="A72" i="4"/>
  <c r="W71" i="4"/>
  <c r="V71" i="4"/>
  <c r="U71" i="4"/>
  <c r="T71" i="4"/>
  <c r="O71" i="4"/>
  <c r="N71" i="4"/>
  <c r="M71" i="4"/>
  <c r="K71" i="4"/>
  <c r="I71" i="4"/>
  <c r="G71" i="4"/>
  <c r="F71" i="4"/>
  <c r="E71" i="4"/>
  <c r="C71" i="4"/>
  <c r="B71" i="4"/>
  <c r="L71" i="4" s="1"/>
  <c r="A71" i="4"/>
  <c r="W70" i="4"/>
  <c r="V70" i="4"/>
  <c r="U70" i="4"/>
  <c r="T70" i="4"/>
  <c r="C70" i="4"/>
  <c r="B70" i="4"/>
  <c r="I70" i="4" s="1"/>
  <c r="A70" i="4"/>
  <c r="W69" i="4"/>
  <c r="V69" i="4"/>
  <c r="U69" i="4"/>
  <c r="T69" i="4"/>
  <c r="O69" i="4"/>
  <c r="M69" i="4"/>
  <c r="L69" i="4"/>
  <c r="K69" i="4"/>
  <c r="I69" i="4"/>
  <c r="H69" i="4"/>
  <c r="G69" i="4"/>
  <c r="E69" i="4"/>
  <c r="D69" i="4"/>
  <c r="C69" i="4"/>
  <c r="B69" i="4"/>
  <c r="J69" i="4" s="1"/>
  <c r="A69" i="4"/>
  <c r="W68" i="4"/>
  <c r="V68" i="4"/>
  <c r="U68" i="4"/>
  <c r="T68" i="4"/>
  <c r="H68" i="4"/>
  <c r="C68" i="4"/>
  <c r="B68" i="4"/>
  <c r="O68" i="4" s="1"/>
  <c r="A68" i="4"/>
  <c r="W67" i="4"/>
  <c r="V67" i="4"/>
  <c r="U67" i="4"/>
  <c r="T67" i="4"/>
  <c r="O67" i="4"/>
  <c r="M67" i="4"/>
  <c r="K67" i="4"/>
  <c r="G67" i="4"/>
  <c r="E67" i="4"/>
  <c r="C67" i="4"/>
  <c r="B67" i="4"/>
  <c r="J67" i="4" s="1"/>
  <c r="A67" i="4"/>
  <c r="W66" i="4"/>
  <c r="V66" i="4"/>
  <c r="U66" i="4"/>
  <c r="T66" i="4"/>
  <c r="N66" i="4"/>
  <c r="H66" i="4"/>
  <c r="F66" i="4"/>
  <c r="C66" i="4"/>
  <c r="B66" i="4"/>
  <c r="M66" i="4" s="1"/>
  <c r="A66" i="4"/>
  <c r="W65" i="4"/>
  <c r="V65" i="4"/>
  <c r="U65" i="4"/>
  <c r="T65" i="4"/>
  <c r="O65" i="4"/>
  <c r="N65" i="4"/>
  <c r="M65" i="4"/>
  <c r="L65" i="4"/>
  <c r="K65" i="4"/>
  <c r="I65" i="4"/>
  <c r="H65" i="4"/>
  <c r="G65" i="4"/>
  <c r="F65" i="4"/>
  <c r="E65" i="4"/>
  <c r="D65" i="4"/>
  <c r="C65" i="4"/>
  <c r="B65" i="4"/>
  <c r="J65" i="4" s="1"/>
  <c r="A65" i="4"/>
  <c r="W64" i="4"/>
  <c r="V64" i="4"/>
  <c r="U64" i="4"/>
  <c r="T64" i="4"/>
  <c r="N64" i="4"/>
  <c r="L64" i="4"/>
  <c r="K64" i="4"/>
  <c r="H64" i="4"/>
  <c r="F64" i="4"/>
  <c r="D64" i="4"/>
  <c r="C64" i="4"/>
  <c r="B64" i="4"/>
  <c r="J64" i="4" s="1"/>
  <c r="A64" i="4"/>
  <c r="W63" i="4"/>
  <c r="V63" i="4"/>
  <c r="U63" i="4"/>
  <c r="T63" i="4"/>
  <c r="O63" i="4"/>
  <c r="N63" i="4"/>
  <c r="M63" i="4"/>
  <c r="K63" i="4"/>
  <c r="I63" i="4"/>
  <c r="G63" i="4"/>
  <c r="F63" i="4"/>
  <c r="E63" i="4"/>
  <c r="C63" i="4"/>
  <c r="B63" i="4"/>
  <c r="L63" i="4" s="1"/>
  <c r="A63" i="4"/>
  <c r="W62" i="4"/>
  <c r="V62" i="4"/>
  <c r="U62" i="4"/>
  <c r="T62" i="4"/>
  <c r="C62" i="4"/>
  <c r="B62" i="4"/>
  <c r="I62" i="4" s="1"/>
  <c r="A62" i="4"/>
  <c r="W61" i="4"/>
  <c r="V61" i="4"/>
  <c r="U61" i="4"/>
  <c r="T61" i="4"/>
  <c r="O61" i="4"/>
  <c r="M61" i="4"/>
  <c r="L61" i="4"/>
  <c r="K61" i="4"/>
  <c r="I61" i="4"/>
  <c r="H61" i="4"/>
  <c r="G61" i="4"/>
  <c r="E61" i="4"/>
  <c r="D61" i="4"/>
  <c r="C61" i="4"/>
  <c r="B61" i="4"/>
  <c r="J61" i="4" s="1"/>
  <c r="A61" i="4"/>
  <c r="W60" i="4"/>
  <c r="V60" i="4"/>
  <c r="U60" i="4"/>
  <c r="T60" i="4"/>
  <c r="H60" i="4"/>
  <c r="C60" i="4"/>
  <c r="B60" i="4"/>
  <c r="O60" i="4" s="1"/>
  <c r="A60" i="4"/>
  <c r="W59" i="4"/>
  <c r="V59" i="4"/>
  <c r="U59" i="4"/>
  <c r="T59" i="4"/>
  <c r="O59" i="4"/>
  <c r="M59" i="4"/>
  <c r="K59" i="4"/>
  <c r="G59" i="4"/>
  <c r="E59" i="4"/>
  <c r="C59" i="4"/>
  <c r="B59" i="4"/>
  <c r="J59" i="4" s="1"/>
  <c r="A59" i="4"/>
  <c r="W58" i="4"/>
  <c r="V58" i="4"/>
  <c r="U58" i="4"/>
  <c r="T58" i="4"/>
  <c r="N58" i="4"/>
  <c r="H58" i="4"/>
  <c r="F58" i="4"/>
  <c r="C58" i="4"/>
  <c r="B58" i="4"/>
  <c r="M58" i="4" s="1"/>
  <c r="A58" i="4"/>
  <c r="W57" i="4"/>
  <c r="V57" i="4"/>
  <c r="U57" i="4"/>
  <c r="T57" i="4"/>
  <c r="O57" i="4"/>
  <c r="N57" i="4"/>
  <c r="M57" i="4"/>
  <c r="L57" i="4"/>
  <c r="K57" i="4"/>
  <c r="I57" i="4"/>
  <c r="H57" i="4"/>
  <c r="G57" i="4"/>
  <c r="F57" i="4"/>
  <c r="E57" i="4"/>
  <c r="D57" i="4"/>
  <c r="C57" i="4"/>
  <c r="B57" i="4"/>
  <c r="J57" i="4" s="1"/>
  <c r="A57" i="4"/>
  <c r="W56" i="4"/>
  <c r="V56" i="4"/>
  <c r="U56" i="4"/>
  <c r="T56" i="4"/>
  <c r="N56" i="4"/>
  <c r="L56" i="4"/>
  <c r="K56" i="4"/>
  <c r="H56" i="4"/>
  <c r="F56" i="4"/>
  <c r="D56" i="4"/>
  <c r="C56" i="4"/>
  <c r="B56" i="4"/>
  <c r="J56" i="4" s="1"/>
  <c r="A56" i="4"/>
  <c r="W55" i="4"/>
  <c r="V55" i="4"/>
  <c r="U55" i="4"/>
  <c r="T55" i="4"/>
  <c r="D55" i="4"/>
  <c r="C55" i="4"/>
  <c r="B55" i="4"/>
  <c r="A55" i="4"/>
  <c r="W54" i="4"/>
  <c r="V54" i="4"/>
  <c r="U54" i="4"/>
  <c r="T54" i="4"/>
  <c r="D54" i="4"/>
  <c r="C54" i="4"/>
  <c r="B54" i="4"/>
  <c r="A54" i="4"/>
  <c r="W53" i="4"/>
  <c r="V53" i="4"/>
  <c r="U53" i="4"/>
  <c r="T53" i="4"/>
  <c r="D53" i="4"/>
  <c r="C53" i="4"/>
  <c r="B53" i="4"/>
  <c r="A53" i="4"/>
  <c r="W52" i="4"/>
  <c r="V52" i="4"/>
  <c r="U52" i="4"/>
  <c r="T52" i="4"/>
  <c r="D52" i="4"/>
  <c r="C52" i="4"/>
  <c r="B52" i="4"/>
  <c r="A52" i="4"/>
  <c r="M31" i="3"/>
  <c r="O27" i="3" s="1"/>
  <c r="M28" i="3"/>
  <c r="L28" i="3"/>
  <c r="A90" i="4" s="1"/>
  <c r="M27" i="3"/>
  <c r="L27" i="3"/>
  <c r="A89" i="4" s="1"/>
  <c r="M26" i="3"/>
  <c r="L26" i="3"/>
  <c r="V118" i="2"/>
  <c r="U118" i="2"/>
  <c r="T118" i="2"/>
  <c r="S118" i="2"/>
  <c r="R118" i="2"/>
  <c r="Q118" i="2"/>
  <c r="P118" i="2"/>
  <c r="O118" i="2"/>
  <c r="D118" i="2"/>
  <c r="C118" i="2"/>
  <c r="B118" i="2"/>
  <c r="A118" i="2"/>
  <c r="V117" i="2"/>
  <c r="U117" i="2"/>
  <c r="T117" i="2"/>
  <c r="S117" i="2"/>
  <c r="R117" i="2"/>
  <c r="Q117" i="2"/>
  <c r="P117" i="2"/>
  <c r="O117" i="2"/>
  <c r="D117" i="2"/>
  <c r="C117" i="2"/>
  <c r="B117" i="2"/>
  <c r="A117" i="2"/>
  <c r="V116" i="2"/>
  <c r="U116" i="2"/>
  <c r="T116" i="2"/>
  <c r="S116" i="2"/>
  <c r="R116" i="2"/>
  <c r="Q116" i="2"/>
  <c r="P116" i="2"/>
  <c r="O116" i="2"/>
  <c r="D116" i="2"/>
  <c r="C116" i="2"/>
  <c r="B116" i="2"/>
  <c r="A116" i="2"/>
  <c r="V115" i="2"/>
  <c r="U115" i="2"/>
  <c r="T115" i="2"/>
  <c r="S115" i="2"/>
  <c r="R115" i="2"/>
  <c r="Q115" i="2"/>
  <c r="P115" i="2"/>
  <c r="O115" i="2"/>
  <c r="D115" i="2"/>
  <c r="C115" i="2"/>
  <c r="B115" i="2"/>
  <c r="A115" i="2"/>
  <c r="V114" i="2"/>
  <c r="U114" i="2"/>
  <c r="T114" i="2"/>
  <c r="S114" i="2"/>
  <c r="R114" i="2"/>
  <c r="Q114" i="2"/>
  <c r="P114" i="2"/>
  <c r="O114" i="2"/>
  <c r="D114" i="2"/>
  <c r="C114" i="2"/>
  <c r="B114" i="2"/>
  <c r="A114" i="2"/>
  <c r="V113" i="2"/>
  <c r="U113" i="2"/>
  <c r="T113" i="2"/>
  <c r="S113" i="2"/>
  <c r="R113" i="2"/>
  <c r="Q113" i="2"/>
  <c r="P113" i="2"/>
  <c r="O113" i="2"/>
  <c r="D113" i="2"/>
  <c r="C113" i="2"/>
  <c r="B113" i="2"/>
  <c r="A113" i="2"/>
  <c r="V112" i="2"/>
  <c r="U112" i="2"/>
  <c r="T112" i="2"/>
  <c r="S112" i="2"/>
  <c r="R112" i="2"/>
  <c r="Q112" i="2"/>
  <c r="P112" i="2"/>
  <c r="O112" i="2"/>
  <c r="D112" i="2"/>
  <c r="C112" i="2"/>
  <c r="B112" i="2"/>
  <c r="A112" i="2"/>
  <c r="V111" i="2"/>
  <c r="U111" i="2"/>
  <c r="T111" i="2"/>
  <c r="S111" i="2"/>
  <c r="R111" i="2"/>
  <c r="Q111" i="2"/>
  <c r="P111" i="2"/>
  <c r="O111" i="2"/>
  <c r="D111" i="2"/>
  <c r="C111" i="2"/>
  <c r="B111" i="2"/>
  <c r="A111" i="2"/>
  <c r="V110" i="2"/>
  <c r="U110" i="2"/>
  <c r="T110" i="2"/>
  <c r="S110" i="2"/>
  <c r="R110" i="2"/>
  <c r="Q110" i="2"/>
  <c r="P110" i="2"/>
  <c r="O110" i="2"/>
  <c r="D110" i="2"/>
  <c r="C110" i="2"/>
  <c r="B110" i="2"/>
  <c r="A110" i="2"/>
  <c r="V109" i="2"/>
  <c r="U109" i="2"/>
  <c r="T109" i="2"/>
  <c r="S109" i="2"/>
  <c r="R109" i="2"/>
  <c r="Q109" i="2"/>
  <c r="P109" i="2"/>
  <c r="O109" i="2"/>
  <c r="D109" i="2"/>
  <c r="C109" i="2"/>
  <c r="B109" i="2"/>
  <c r="A109" i="2"/>
  <c r="V108" i="2"/>
  <c r="U108" i="2"/>
  <c r="T108" i="2"/>
  <c r="S108" i="2"/>
  <c r="R108" i="2"/>
  <c r="Q108" i="2"/>
  <c r="P108" i="2"/>
  <c r="O108" i="2"/>
  <c r="D108" i="2"/>
  <c r="C108" i="2"/>
  <c r="B108" i="2"/>
  <c r="A108" i="2"/>
  <c r="V107" i="2"/>
  <c r="U107" i="2"/>
  <c r="T107" i="2"/>
  <c r="S107" i="2"/>
  <c r="R107" i="2"/>
  <c r="Q107" i="2"/>
  <c r="P107" i="2"/>
  <c r="O107" i="2"/>
  <c r="D107" i="2"/>
  <c r="C107" i="2"/>
  <c r="B107" i="2"/>
  <c r="A107" i="2"/>
  <c r="V106" i="2"/>
  <c r="U106" i="2"/>
  <c r="T106" i="2"/>
  <c r="S106" i="2"/>
  <c r="R106" i="2"/>
  <c r="Q106" i="2"/>
  <c r="P106" i="2"/>
  <c r="O106" i="2"/>
  <c r="D106" i="2"/>
  <c r="C106" i="2"/>
  <c r="B106" i="2"/>
  <c r="A106" i="2"/>
  <c r="V105" i="2"/>
  <c r="U105" i="2"/>
  <c r="T105" i="2"/>
  <c r="S105" i="2"/>
  <c r="R105" i="2"/>
  <c r="Q105" i="2"/>
  <c r="P105" i="2"/>
  <c r="O105" i="2"/>
  <c r="D105" i="2"/>
  <c r="C105" i="2"/>
  <c r="B105" i="2"/>
  <c r="A105" i="2"/>
  <c r="V104" i="2"/>
  <c r="U104" i="2"/>
  <c r="T104" i="2"/>
  <c r="S104" i="2"/>
  <c r="R104" i="2"/>
  <c r="Q104" i="2"/>
  <c r="P104" i="2"/>
  <c r="O104" i="2"/>
  <c r="D104" i="2"/>
  <c r="C104" i="2"/>
  <c r="B104" i="2"/>
  <c r="A104" i="2"/>
  <c r="V103" i="2"/>
  <c r="U103" i="2"/>
  <c r="T103" i="2"/>
  <c r="S103" i="2"/>
  <c r="R103" i="2"/>
  <c r="Q103" i="2"/>
  <c r="P103" i="2"/>
  <c r="O103" i="2"/>
  <c r="D103" i="2"/>
  <c r="C103" i="2"/>
  <c r="B103" i="2"/>
  <c r="A103" i="2"/>
  <c r="V102" i="2"/>
  <c r="U102" i="2"/>
  <c r="T102" i="2"/>
  <c r="S102" i="2"/>
  <c r="R102" i="2"/>
  <c r="Q102" i="2"/>
  <c r="P102" i="2"/>
  <c r="O102" i="2"/>
  <c r="D102" i="2"/>
  <c r="C102" i="2"/>
  <c r="B102" i="2"/>
  <c r="A102" i="2"/>
  <c r="V101" i="2"/>
  <c r="U101" i="2"/>
  <c r="T101" i="2"/>
  <c r="S101" i="2"/>
  <c r="R101" i="2"/>
  <c r="Q101" i="2"/>
  <c r="P101" i="2"/>
  <c r="O101" i="2"/>
  <c r="D101" i="2"/>
  <c r="C101" i="2"/>
  <c r="B101" i="2"/>
  <c r="A101" i="2"/>
  <c r="V100" i="2"/>
  <c r="U100" i="2"/>
  <c r="T100" i="2"/>
  <c r="S100" i="2"/>
  <c r="R100" i="2"/>
  <c r="Q100" i="2"/>
  <c r="P100" i="2"/>
  <c r="O100" i="2"/>
  <c r="D100" i="2"/>
  <c r="C100" i="2"/>
  <c r="B100" i="2"/>
  <c r="A100" i="2"/>
  <c r="V99" i="2"/>
  <c r="U99" i="2"/>
  <c r="T99" i="2"/>
  <c r="S99" i="2"/>
  <c r="R99" i="2"/>
  <c r="Q99" i="2"/>
  <c r="P99" i="2"/>
  <c r="C99" i="2"/>
  <c r="B99" i="2"/>
  <c r="V98" i="2"/>
  <c r="U98" i="2"/>
  <c r="T98" i="2"/>
  <c r="S98" i="2"/>
  <c r="R98" i="2"/>
  <c r="Q98" i="2"/>
  <c r="P98" i="2"/>
  <c r="C98" i="2"/>
  <c r="B98" i="2"/>
  <c r="V97" i="2"/>
  <c r="U97" i="2"/>
  <c r="T97" i="2"/>
  <c r="S97" i="2"/>
  <c r="R97" i="2"/>
  <c r="Q97" i="2"/>
  <c r="P97" i="2"/>
  <c r="O97" i="2"/>
  <c r="D97" i="2"/>
  <c r="C97" i="2"/>
  <c r="B97" i="2"/>
  <c r="A97" i="2"/>
  <c r="V96" i="2"/>
  <c r="U96" i="2"/>
  <c r="T96" i="2"/>
  <c r="S96" i="2"/>
  <c r="R96" i="2"/>
  <c r="Q96" i="2"/>
  <c r="P96" i="2"/>
  <c r="C96" i="2"/>
  <c r="A96" i="2"/>
  <c r="V95" i="2"/>
  <c r="U95" i="2"/>
  <c r="T95" i="2"/>
  <c r="S95" i="2"/>
  <c r="R95" i="2"/>
  <c r="Q95" i="2"/>
  <c r="P95" i="2"/>
  <c r="C95" i="2"/>
  <c r="A95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V93" i="2"/>
  <c r="U93" i="2"/>
  <c r="T93" i="2"/>
  <c r="S93" i="2"/>
  <c r="R93" i="2"/>
  <c r="Q93" i="2"/>
  <c r="P93" i="2"/>
  <c r="C93" i="2"/>
  <c r="A93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V91" i="2"/>
  <c r="U91" i="2"/>
  <c r="T91" i="2"/>
  <c r="S91" i="2"/>
  <c r="R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V90" i="2"/>
  <c r="U90" i="2"/>
  <c r="T90" i="2"/>
  <c r="S90" i="2"/>
  <c r="R90" i="2"/>
  <c r="C90" i="2"/>
  <c r="V89" i="2"/>
  <c r="U89" i="2"/>
  <c r="T89" i="2"/>
  <c r="S89" i="2"/>
  <c r="R89" i="2"/>
  <c r="C89" i="2"/>
  <c r="V88" i="2"/>
  <c r="U88" i="2"/>
  <c r="T88" i="2"/>
  <c r="S88" i="2"/>
  <c r="R88" i="2"/>
  <c r="C88" i="2"/>
  <c r="V87" i="2"/>
  <c r="U87" i="2"/>
  <c r="T87" i="2"/>
  <c r="S87" i="2"/>
  <c r="R87" i="2"/>
  <c r="C87" i="2"/>
  <c r="B87" i="2"/>
  <c r="A87" i="2"/>
  <c r="V86" i="2"/>
  <c r="U86" i="2"/>
  <c r="T86" i="2"/>
  <c r="S86" i="2"/>
  <c r="R86" i="2"/>
  <c r="Q86" i="2"/>
  <c r="P86" i="2"/>
  <c r="O86" i="2"/>
  <c r="D86" i="2"/>
  <c r="C86" i="2"/>
  <c r="B86" i="2"/>
  <c r="A86" i="2"/>
  <c r="V85" i="2"/>
  <c r="U85" i="2"/>
  <c r="T85" i="2"/>
  <c r="S85" i="2"/>
  <c r="R85" i="2"/>
  <c r="Q85" i="2"/>
  <c r="P85" i="2"/>
  <c r="O85" i="2"/>
  <c r="D85" i="2"/>
  <c r="C85" i="2"/>
  <c r="B85" i="2"/>
  <c r="A85" i="2"/>
  <c r="V84" i="2"/>
  <c r="U84" i="2"/>
  <c r="T84" i="2"/>
  <c r="S84" i="2"/>
  <c r="R84" i="2"/>
  <c r="Q84" i="2"/>
  <c r="P84" i="2"/>
  <c r="O84" i="2"/>
  <c r="D84" i="2"/>
  <c r="C84" i="2"/>
  <c r="B84" i="2"/>
  <c r="A84" i="2"/>
  <c r="V83" i="2"/>
  <c r="U83" i="2"/>
  <c r="T83" i="2"/>
  <c r="S83" i="2"/>
  <c r="R83" i="2"/>
  <c r="Q83" i="2"/>
  <c r="P83" i="2"/>
  <c r="O83" i="2"/>
  <c r="D83" i="2"/>
  <c r="C83" i="2"/>
  <c r="B83" i="2"/>
  <c r="A83" i="2"/>
  <c r="W82" i="2"/>
  <c r="V82" i="2"/>
  <c r="U82" i="2"/>
  <c r="T82" i="2"/>
  <c r="D82" i="2"/>
  <c r="C82" i="2"/>
  <c r="B82" i="2"/>
  <c r="A82" i="2"/>
  <c r="W81" i="2"/>
  <c r="V81" i="2"/>
  <c r="U81" i="2"/>
  <c r="T81" i="2"/>
  <c r="D81" i="2"/>
  <c r="C81" i="2"/>
  <c r="B81" i="2"/>
  <c r="A81" i="2"/>
  <c r="W80" i="2"/>
  <c r="V80" i="2"/>
  <c r="U80" i="2"/>
  <c r="T80" i="2"/>
  <c r="D80" i="2"/>
  <c r="C80" i="2"/>
  <c r="B80" i="2"/>
  <c r="A80" i="2"/>
  <c r="W79" i="2"/>
  <c r="V79" i="2"/>
  <c r="U79" i="2"/>
  <c r="T79" i="2"/>
  <c r="D79" i="2"/>
  <c r="C79" i="2"/>
  <c r="B79" i="2"/>
  <c r="A79" i="2"/>
  <c r="W78" i="2"/>
  <c r="V78" i="2"/>
  <c r="U78" i="2"/>
  <c r="T78" i="2"/>
  <c r="D78" i="2"/>
  <c r="C78" i="2"/>
  <c r="B78" i="2"/>
  <c r="A78" i="2"/>
  <c r="W77" i="2"/>
  <c r="V77" i="2"/>
  <c r="U77" i="2"/>
  <c r="T77" i="2"/>
  <c r="D77" i="2"/>
  <c r="C77" i="2"/>
  <c r="B77" i="2"/>
  <c r="A77" i="2"/>
  <c r="W76" i="2"/>
  <c r="V76" i="2"/>
  <c r="U76" i="2"/>
  <c r="T76" i="2"/>
  <c r="C76" i="2"/>
  <c r="B76" i="2"/>
  <c r="O76" i="2" s="1"/>
  <c r="A76" i="2"/>
  <c r="W75" i="2"/>
  <c r="V75" i="2"/>
  <c r="U75" i="2"/>
  <c r="T75" i="2"/>
  <c r="C75" i="2"/>
  <c r="B75" i="2"/>
  <c r="J75" i="2" s="1"/>
  <c r="A75" i="2"/>
  <c r="W74" i="2"/>
  <c r="V74" i="2"/>
  <c r="U74" i="2"/>
  <c r="T74" i="2"/>
  <c r="C74" i="2"/>
  <c r="B74" i="2"/>
  <c r="M74" i="2" s="1"/>
  <c r="A74" i="2"/>
  <c r="W73" i="2"/>
  <c r="V73" i="2"/>
  <c r="U73" i="2"/>
  <c r="T73" i="2"/>
  <c r="J73" i="2"/>
  <c r="I73" i="2"/>
  <c r="C73" i="2"/>
  <c r="B73" i="2"/>
  <c r="H73" i="2" s="1"/>
  <c r="A73" i="2"/>
  <c r="W72" i="2"/>
  <c r="V72" i="2"/>
  <c r="U72" i="2"/>
  <c r="T72" i="2"/>
  <c r="L72" i="2"/>
  <c r="C72" i="2"/>
  <c r="B72" i="2"/>
  <c r="K72" i="2" s="1"/>
  <c r="A72" i="2"/>
  <c r="W71" i="2"/>
  <c r="V71" i="2"/>
  <c r="U71" i="2"/>
  <c r="T71" i="2"/>
  <c r="C71" i="2"/>
  <c r="B71" i="2"/>
  <c r="N71" i="2" s="1"/>
  <c r="A71" i="2"/>
  <c r="W70" i="2"/>
  <c r="V70" i="2"/>
  <c r="U70" i="2"/>
  <c r="T70" i="2"/>
  <c r="C70" i="2"/>
  <c r="B70" i="2"/>
  <c r="I70" i="2" s="1"/>
  <c r="A70" i="2"/>
  <c r="W69" i="2"/>
  <c r="V69" i="2"/>
  <c r="U69" i="2"/>
  <c r="T69" i="2"/>
  <c r="O69" i="2"/>
  <c r="M69" i="2"/>
  <c r="K69" i="2"/>
  <c r="H69" i="2"/>
  <c r="C69" i="2"/>
  <c r="B69" i="2"/>
  <c r="L69" i="2" s="1"/>
  <c r="A69" i="2"/>
  <c r="W68" i="2"/>
  <c r="V68" i="2"/>
  <c r="U68" i="2"/>
  <c r="T68" i="2"/>
  <c r="C68" i="2"/>
  <c r="B68" i="2"/>
  <c r="O68" i="2" s="1"/>
  <c r="A68" i="2"/>
  <c r="W67" i="2"/>
  <c r="V67" i="2"/>
  <c r="U67" i="2"/>
  <c r="T67" i="2"/>
  <c r="C67" i="2"/>
  <c r="B67" i="2"/>
  <c r="J67" i="2" s="1"/>
  <c r="A67" i="2"/>
  <c r="W66" i="2"/>
  <c r="V66" i="2"/>
  <c r="U66" i="2"/>
  <c r="T66" i="2"/>
  <c r="C66" i="2"/>
  <c r="B66" i="2"/>
  <c r="M66" i="2" s="1"/>
  <c r="A66" i="2"/>
  <c r="W65" i="2"/>
  <c r="V65" i="2"/>
  <c r="U65" i="2"/>
  <c r="T65" i="2"/>
  <c r="C65" i="2"/>
  <c r="B65" i="2"/>
  <c r="H65" i="2" s="1"/>
  <c r="A65" i="2"/>
  <c r="W64" i="2"/>
  <c r="V64" i="2"/>
  <c r="U64" i="2"/>
  <c r="T64" i="2"/>
  <c r="M64" i="2"/>
  <c r="L64" i="2"/>
  <c r="E64" i="2"/>
  <c r="D64" i="2"/>
  <c r="C64" i="2"/>
  <c r="B64" i="2"/>
  <c r="K64" i="2" s="1"/>
  <c r="A64" i="2"/>
  <c r="W63" i="2"/>
  <c r="V63" i="2"/>
  <c r="U63" i="2"/>
  <c r="T63" i="2"/>
  <c r="M63" i="2"/>
  <c r="C63" i="2"/>
  <c r="B63" i="2"/>
  <c r="N63" i="2" s="1"/>
  <c r="A63" i="2"/>
  <c r="W62" i="2"/>
  <c r="V62" i="2"/>
  <c r="U62" i="2"/>
  <c r="T62" i="2"/>
  <c r="C62" i="2"/>
  <c r="B62" i="2"/>
  <c r="I62" i="2" s="1"/>
  <c r="A62" i="2"/>
  <c r="W61" i="2"/>
  <c r="V61" i="2"/>
  <c r="U61" i="2"/>
  <c r="T61" i="2"/>
  <c r="C61" i="2"/>
  <c r="B61" i="2"/>
  <c r="L61" i="2" s="1"/>
  <c r="A61" i="2"/>
  <c r="W60" i="2"/>
  <c r="V60" i="2"/>
  <c r="U60" i="2"/>
  <c r="T60" i="2"/>
  <c r="N60" i="2"/>
  <c r="I60" i="2"/>
  <c r="H60" i="2"/>
  <c r="F60" i="2"/>
  <c r="C60" i="2"/>
  <c r="B60" i="2"/>
  <c r="O60" i="2" s="1"/>
  <c r="A60" i="2"/>
  <c r="W59" i="2"/>
  <c r="V59" i="2"/>
  <c r="U59" i="2"/>
  <c r="T59" i="2"/>
  <c r="C59" i="2"/>
  <c r="B59" i="2"/>
  <c r="J59" i="2" s="1"/>
  <c r="A59" i="2"/>
  <c r="W58" i="2"/>
  <c r="V58" i="2"/>
  <c r="U58" i="2"/>
  <c r="T58" i="2"/>
  <c r="C58" i="2"/>
  <c r="B58" i="2"/>
  <c r="M58" i="2" s="1"/>
  <c r="A58" i="2"/>
  <c r="W57" i="2"/>
  <c r="V57" i="2"/>
  <c r="U57" i="2"/>
  <c r="T57" i="2"/>
  <c r="C57" i="2"/>
  <c r="B57" i="2"/>
  <c r="H57" i="2" s="1"/>
  <c r="A57" i="2"/>
  <c r="W56" i="2"/>
  <c r="V56" i="2"/>
  <c r="U56" i="2"/>
  <c r="T56" i="2"/>
  <c r="C56" i="2"/>
  <c r="B56" i="2"/>
  <c r="K56" i="2" s="1"/>
  <c r="A56" i="2"/>
  <c r="W55" i="2"/>
  <c r="V55" i="2"/>
  <c r="U55" i="2"/>
  <c r="T55" i="2"/>
  <c r="D55" i="2"/>
  <c r="C55" i="2"/>
  <c r="B55" i="2"/>
  <c r="A55" i="2"/>
  <c r="W54" i="2"/>
  <c r="V54" i="2"/>
  <c r="U54" i="2"/>
  <c r="T54" i="2"/>
  <c r="D54" i="2"/>
  <c r="C54" i="2"/>
  <c r="B54" i="2"/>
  <c r="A54" i="2"/>
  <c r="W53" i="2"/>
  <c r="V53" i="2"/>
  <c r="U53" i="2"/>
  <c r="T53" i="2"/>
  <c r="D53" i="2"/>
  <c r="C53" i="2"/>
  <c r="B53" i="2"/>
  <c r="A53" i="2"/>
  <c r="W52" i="2"/>
  <c r="V52" i="2"/>
  <c r="U52" i="2"/>
  <c r="T52" i="2"/>
  <c r="D52" i="2"/>
  <c r="C52" i="2"/>
  <c r="B52" i="2"/>
  <c r="A52" i="2"/>
  <c r="M31" i="1"/>
  <c r="M28" i="1"/>
  <c r="L28" i="1"/>
  <c r="A90" i="2" s="1"/>
  <c r="M27" i="1"/>
  <c r="L27" i="1"/>
  <c r="A89" i="2" s="1"/>
  <c r="M26" i="1"/>
  <c r="L26" i="1"/>
  <c r="A88" i="2" s="1"/>
  <c r="O28" i="1" l="1"/>
  <c r="N93" i="4"/>
  <c r="F93" i="4"/>
  <c r="M93" i="4"/>
  <c r="E93" i="4"/>
  <c r="K93" i="4"/>
  <c r="L93" i="4"/>
  <c r="D93" i="4"/>
  <c r="J93" i="4"/>
  <c r="I93" i="4"/>
  <c r="H93" i="4"/>
  <c r="O93" i="4"/>
  <c r="G93" i="4"/>
  <c r="J62" i="4"/>
  <c r="J88" i="4" s="1"/>
  <c r="J70" i="4"/>
  <c r="J89" i="4" s="1"/>
  <c r="O28" i="3"/>
  <c r="E56" i="4"/>
  <c r="M56" i="4"/>
  <c r="G58" i="4"/>
  <c r="O58" i="4"/>
  <c r="D59" i="4"/>
  <c r="L59" i="4"/>
  <c r="I60" i="4"/>
  <c r="F61" i="4"/>
  <c r="N61" i="4"/>
  <c r="K62" i="4"/>
  <c r="H63" i="4"/>
  <c r="E64" i="4"/>
  <c r="M64" i="4"/>
  <c r="G66" i="4"/>
  <c r="O66" i="4"/>
  <c r="D67" i="4"/>
  <c r="L67" i="4"/>
  <c r="I68" i="4"/>
  <c r="F69" i="4"/>
  <c r="N69" i="4"/>
  <c r="K70" i="4"/>
  <c r="H71" i="4"/>
  <c r="E72" i="4"/>
  <c r="M72" i="4"/>
  <c r="G74" i="4"/>
  <c r="O74" i="4"/>
  <c r="D75" i="4"/>
  <c r="L75" i="4"/>
  <c r="I76" i="4"/>
  <c r="N88" i="4"/>
  <c r="B89" i="4"/>
  <c r="J60" i="4"/>
  <c r="D62" i="4"/>
  <c r="J68" i="4"/>
  <c r="D70" i="4"/>
  <c r="J76" i="4"/>
  <c r="L62" i="4"/>
  <c r="L70" i="4"/>
  <c r="O26" i="3"/>
  <c r="M33" i="3"/>
  <c r="M34" i="3" s="1"/>
  <c r="G56" i="4"/>
  <c r="O56" i="4"/>
  <c r="I58" i="4"/>
  <c r="F59" i="4"/>
  <c r="F90" i="4" s="1"/>
  <c r="N59" i="4"/>
  <c r="K60" i="4"/>
  <c r="E62" i="4"/>
  <c r="M62" i="4"/>
  <c r="J63" i="4"/>
  <c r="G64" i="4"/>
  <c r="O64" i="4"/>
  <c r="I66" i="4"/>
  <c r="F67" i="4"/>
  <c r="N67" i="4"/>
  <c r="K68" i="4"/>
  <c r="E70" i="4"/>
  <c r="M70" i="4"/>
  <c r="J71" i="4"/>
  <c r="G72" i="4"/>
  <c r="O72" i="4"/>
  <c r="I74" i="4"/>
  <c r="F75" i="4"/>
  <c r="N75" i="4"/>
  <c r="K76" i="4"/>
  <c r="D60" i="4"/>
  <c r="F62" i="4"/>
  <c r="D76" i="4"/>
  <c r="I56" i="4"/>
  <c r="K58" i="4"/>
  <c r="K89" i="4" s="1"/>
  <c r="H59" i="4"/>
  <c r="H90" i="4" s="1"/>
  <c r="E60" i="4"/>
  <c r="M60" i="4"/>
  <c r="G62" i="4"/>
  <c r="O62" i="4"/>
  <c r="D63" i="4"/>
  <c r="I64" i="4"/>
  <c r="K66" i="4"/>
  <c r="H67" i="4"/>
  <c r="E68" i="4"/>
  <c r="M68" i="4"/>
  <c r="G70" i="4"/>
  <c r="O70" i="4"/>
  <c r="D71" i="4"/>
  <c r="I72" i="4"/>
  <c r="K74" i="4"/>
  <c r="K88" i="4" s="1"/>
  <c r="H75" i="4"/>
  <c r="E76" i="4"/>
  <c r="M76" i="4"/>
  <c r="B88" i="4"/>
  <c r="B95" i="4" s="1"/>
  <c r="B96" i="4" s="1"/>
  <c r="B90" i="4"/>
  <c r="J58" i="4"/>
  <c r="L60" i="4"/>
  <c r="N62" i="4"/>
  <c r="N90" i="4" s="1"/>
  <c r="J66" i="4"/>
  <c r="L68" i="4"/>
  <c r="L88" i="4" s="1"/>
  <c r="F70" i="4"/>
  <c r="N70" i="4"/>
  <c r="J74" i="4"/>
  <c r="L76" i="4"/>
  <c r="D58" i="4"/>
  <c r="D90" i="4" s="1"/>
  <c r="L58" i="4"/>
  <c r="L90" i="4" s="1"/>
  <c r="I59" i="4"/>
  <c r="F60" i="4"/>
  <c r="F88" i="4" s="1"/>
  <c r="N60" i="4"/>
  <c r="H62" i="4"/>
  <c r="D66" i="4"/>
  <c r="L66" i="4"/>
  <c r="I67" i="4"/>
  <c r="F68" i="4"/>
  <c r="N68" i="4"/>
  <c r="H70" i="4"/>
  <c r="D74" i="4"/>
  <c r="L74" i="4"/>
  <c r="I75" i="4"/>
  <c r="F76" i="4"/>
  <c r="N76" i="4"/>
  <c r="D68" i="4"/>
  <c r="D89" i="4" s="1"/>
  <c r="E58" i="4"/>
  <c r="G60" i="4"/>
  <c r="E66" i="4"/>
  <c r="G68" i="4"/>
  <c r="E74" i="4"/>
  <c r="G76" i="4"/>
  <c r="O63" i="2"/>
  <c r="M72" i="2"/>
  <c r="H61" i="2"/>
  <c r="H68" i="2"/>
  <c r="N69" i="2"/>
  <c r="H71" i="2"/>
  <c r="G74" i="2"/>
  <c r="F74" i="2"/>
  <c r="I61" i="2"/>
  <c r="E63" i="2"/>
  <c r="I65" i="2"/>
  <c r="I68" i="2"/>
  <c r="I71" i="2"/>
  <c r="H74" i="2"/>
  <c r="F76" i="2"/>
  <c r="K61" i="2"/>
  <c r="G63" i="2"/>
  <c r="N68" i="2"/>
  <c r="E69" i="2"/>
  <c r="M71" i="2"/>
  <c r="I74" i="2"/>
  <c r="H76" i="2"/>
  <c r="F68" i="2"/>
  <c r="H63" i="2"/>
  <c r="F69" i="2"/>
  <c r="O71" i="2"/>
  <c r="D72" i="2"/>
  <c r="I76" i="2"/>
  <c r="I63" i="2"/>
  <c r="G69" i="2"/>
  <c r="E72" i="2"/>
  <c r="N76" i="2"/>
  <c r="O27" i="1"/>
  <c r="B93" i="2"/>
  <c r="E93" i="2" s="1"/>
  <c r="D67" i="2"/>
  <c r="K67" i="2"/>
  <c r="L67" i="2"/>
  <c r="H67" i="2"/>
  <c r="I67" i="2"/>
  <c r="M67" i="2"/>
  <c r="E67" i="2"/>
  <c r="N67" i="2"/>
  <c r="O67" i="2"/>
  <c r="F67" i="2"/>
  <c r="G67" i="2"/>
  <c r="H66" i="2"/>
  <c r="I66" i="2"/>
  <c r="L66" i="2"/>
  <c r="N66" i="2"/>
  <c r="O66" i="2"/>
  <c r="D66" i="2"/>
  <c r="F66" i="2"/>
  <c r="G66" i="2"/>
  <c r="J65" i="2"/>
  <c r="O59" i="2"/>
  <c r="F58" i="2"/>
  <c r="F59" i="2"/>
  <c r="G59" i="2"/>
  <c r="L58" i="2"/>
  <c r="H59" i="2"/>
  <c r="G58" i="2"/>
  <c r="H58" i="2"/>
  <c r="I58" i="2"/>
  <c r="I59" i="2"/>
  <c r="K59" i="2"/>
  <c r="L59" i="2"/>
  <c r="N58" i="2"/>
  <c r="D56" i="2"/>
  <c r="O58" i="2"/>
  <c r="D59" i="2"/>
  <c r="M59" i="2"/>
  <c r="L56" i="2"/>
  <c r="I57" i="2"/>
  <c r="D58" i="2"/>
  <c r="E59" i="2"/>
  <c r="N59" i="2"/>
  <c r="M61" i="2"/>
  <c r="E61" i="2"/>
  <c r="O61" i="2"/>
  <c r="F61" i="2"/>
  <c r="N61" i="2"/>
  <c r="G61" i="2"/>
  <c r="F75" i="2"/>
  <c r="O75" i="2"/>
  <c r="G75" i="2"/>
  <c r="H75" i="2"/>
  <c r="I75" i="2"/>
  <c r="K75" i="2"/>
  <c r="L75" i="2"/>
  <c r="D75" i="2"/>
  <c r="M75" i="2"/>
  <c r="E75" i="2"/>
  <c r="N75" i="2"/>
  <c r="L74" i="2"/>
  <c r="N74" i="2"/>
  <c r="O74" i="2"/>
  <c r="D74" i="2"/>
  <c r="E71" i="2"/>
  <c r="G71" i="2"/>
  <c r="M33" i="1"/>
  <c r="M34" i="1" s="1"/>
  <c r="H93" i="2"/>
  <c r="O93" i="2"/>
  <c r="E56" i="2"/>
  <c r="M56" i="2"/>
  <c r="J57" i="2"/>
  <c r="K70" i="2"/>
  <c r="B89" i="2"/>
  <c r="J70" i="2"/>
  <c r="K62" i="2"/>
  <c r="F56" i="2"/>
  <c r="N56" i="2"/>
  <c r="K57" i="2"/>
  <c r="J60" i="2"/>
  <c r="D62" i="2"/>
  <c r="L62" i="2"/>
  <c r="F64" i="2"/>
  <c r="N64" i="2"/>
  <c r="K65" i="2"/>
  <c r="J68" i="2"/>
  <c r="D70" i="2"/>
  <c r="L70" i="2"/>
  <c r="F72" i="2"/>
  <c r="N72" i="2"/>
  <c r="K73" i="2"/>
  <c r="J76" i="2"/>
  <c r="O26" i="1"/>
  <c r="G56" i="2"/>
  <c r="O56" i="2"/>
  <c r="D57" i="2"/>
  <c r="L57" i="2"/>
  <c r="K60" i="2"/>
  <c r="E62" i="2"/>
  <c r="M62" i="2"/>
  <c r="J63" i="2"/>
  <c r="G64" i="2"/>
  <c r="O64" i="2"/>
  <c r="D65" i="2"/>
  <c r="L65" i="2"/>
  <c r="K68" i="2"/>
  <c r="E70" i="2"/>
  <c r="M70" i="2"/>
  <c r="J71" i="2"/>
  <c r="G72" i="2"/>
  <c r="O72" i="2"/>
  <c r="D73" i="2"/>
  <c r="L73" i="2"/>
  <c r="K76" i="2"/>
  <c r="H56" i="2"/>
  <c r="E57" i="2"/>
  <c r="M57" i="2"/>
  <c r="J58" i="2"/>
  <c r="D60" i="2"/>
  <c r="L60" i="2"/>
  <c r="F62" i="2"/>
  <c r="N62" i="2"/>
  <c r="K63" i="2"/>
  <c r="H64" i="2"/>
  <c r="E65" i="2"/>
  <c r="M65" i="2"/>
  <c r="J66" i="2"/>
  <c r="D68" i="2"/>
  <c r="L68" i="2"/>
  <c r="I69" i="2"/>
  <c r="F70" i="2"/>
  <c r="N70" i="2"/>
  <c r="K71" i="2"/>
  <c r="H72" i="2"/>
  <c r="E73" i="2"/>
  <c r="M73" i="2"/>
  <c r="J74" i="2"/>
  <c r="D76" i="2"/>
  <c r="L76" i="2"/>
  <c r="J62" i="2"/>
  <c r="I56" i="2"/>
  <c r="F57" i="2"/>
  <c r="N57" i="2"/>
  <c r="K58" i="2"/>
  <c r="E60" i="2"/>
  <c r="M60" i="2"/>
  <c r="J61" i="2"/>
  <c r="G62" i="2"/>
  <c r="O62" i="2"/>
  <c r="D63" i="2"/>
  <c r="L63" i="2"/>
  <c r="I64" i="2"/>
  <c r="F65" i="2"/>
  <c r="N65" i="2"/>
  <c r="K66" i="2"/>
  <c r="E68" i="2"/>
  <c r="M68" i="2"/>
  <c r="J69" i="2"/>
  <c r="G70" i="2"/>
  <c r="O70" i="2"/>
  <c r="D71" i="2"/>
  <c r="L71" i="2"/>
  <c r="I72" i="2"/>
  <c r="F73" i="2"/>
  <c r="N73" i="2"/>
  <c r="K74" i="2"/>
  <c r="E76" i="2"/>
  <c r="M76" i="2"/>
  <c r="B88" i="2"/>
  <c r="B90" i="2"/>
  <c r="G57" i="2"/>
  <c r="O57" i="2"/>
  <c r="H62" i="2"/>
  <c r="J64" i="2"/>
  <c r="G65" i="2"/>
  <c r="O65" i="2"/>
  <c r="J72" i="2"/>
  <c r="G73" i="2"/>
  <c r="O73" i="2"/>
  <c r="J56" i="2"/>
  <c r="H70" i="2"/>
  <c r="E58" i="2"/>
  <c r="G60" i="2"/>
  <c r="D61" i="2"/>
  <c r="F63" i="2"/>
  <c r="E66" i="2"/>
  <c r="G68" i="2"/>
  <c r="D69" i="2"/>
  <c r="F71" i="2"/>
  <c r="E74" i="2"/>
  <c r="G76" i="2"/>
  <c r="K93" i="2" l="1"/>
  <c r="I93" i="2"/>
  <c r="J93" i="2"/>
  <c r="F93" i="2"/>
  <c r="M93" i="2"/>
  <c r="N93" i="2"/>
  <c r="J90" i="4"/>
  <c r="L89" i="4"/>
  <c r="L95" i="4" s="1"/>
  <c r="L96" i="4" s="1"/>
  <c r="L98" i="4" s="1"/>
  <c r="F89" i="4"/>
  <c r="F95" i="4" s="1"/>
  <c r="F96" i="4" s="1"/>
  <c r="F98" i="4" s="1"/>
  <c r="D88" i="4"/>
  <c r="D95" i="4" s="1"/>
  <c r="D96" i="4" s="1"/>
  <c r="D98" i="4" s="1"/>
  <c r="N89" i="4"/>
  <c r="N95" i="4" s="1"/>
  <c r="N96" i="4" s="1"/>
  <c r="N98" i="4" s="1"/>
  <c r="M89" i="4"/>
  <c r="M90" i="4"/>
  <c r="M88" i="4"/>
  <c r="M95" i="4" s="1"/>
  <c r="M96" i="4" s="1"/>
  <c r="M98" i="4" s="1"/>
  <c r="H95" i="4"/>
  <c r="H96" i="4" s="1"/>
  <c r="H98" i="4" s="1"/>
  <c r="O89" i="4"/>
  <c r="O88" i="4"/>
  <c r="O90" i="4"/>
  <c r="O95" i="4" s="1"/>
  <c r="O96" i="4" s="1"/>
  <c r="O98" i="4" s="1"/>
  <c r="H88" i="4"/>
  <c r="G89" i="4"/>
  <c r="G90" i="4"/>
  <c r="G88" i="4"/>
  <c r="G95" i="4" s="1"/>
  <c r="G96" i="4" s="1"/>
  <c r="G98" i="4" s="1"/>
  <c r="K95" i="4"/>
  <c r="K96" i="4" s="1"/>
  <c r="K98" i="4" s="1"/>
  <c r="E89" i="4"/>
  <c r="E95" i="4" s="1"/>
  <c r="E96" i="4" s="1"/>
  <c r="E98" i="4" s="1"/>
  <c r="E88" i="4"/>
  <c r="E90" i="4"/>
  <c r="K90" i="4"/>
  <c r="I88" i="4"/>
  <c r="I95" i="4" s="1"/>
  <c r="I96" i="4" s="1"/>
  <c r="I98" i="4" s="1"/>
  <c r="I90" i="4"/>
  <c r="I89" i="4"/>
  <c r="H89" i="4"/>
  <c r="J95" i="4"/>
  <c r="J96" i="4" s="1"/>
  <c r="J98" i="4" s="1"/>
  <c r="D93" i="2"/>
  <c r="L93" i="2"/>
  <c r="G93" i="2"/>
  <c r="K90" i="2"/>
  <c r="K88" i="2"/>
  <c r="L88" i="2"/>
  <c r="K89" i="2"/>
  <c r="D89" i="2"/>
  <c r="B95" i="2"/>
  <c r="B96" i="2" s="1"/>
  <c r="L90" i="2"/>
  <c r="D88" i="2"/>
  <c r="O89" i="2"/>
  <c r="O90" i="2"/>
  <c r="O88" i="2"/>
  <c r="G89" i="2"/>
  <c r="G90" i="2"/>
  <c r="G88" i="2"/>
  <c r="N89" i="2"/>
  <c r="N90" i="2"/>
  <c r="N88" i="2"/>
  <c r="I90" i="2"/>
  <c r="I88" i="2"/>
  <c r="I89" i="2"/>
  <c r="F89" i="2"/>
  <c r="F88" i="2"/>
  <c r="F90" i="2"/>
  <c r="M89" i="2"/>
  <c r="M88" i="2"/>
  <c r="M90" i="2"/>
  <c r="J90" i="2"/>
  <c r="J88" i="2"/>
  <c r="J89" i="2"/>
  <c r="E89" i="2"/>
  <c r="E88" i="2"/>
  <c r="E90" i="2"/>
  <c r="H89" i="2"/>
  <c r="H90" i="2"/>
  <c r="H88" i="2"/>
  <c r="L89" i="2"/>
  <c r="D90" i="2"/>
  <c r="K95" i="2" l="1"/>
  <c r="K96" i="2" s="1"/>
  <c r="K98" i="2" s="1"/>
  <c r="N95" i="2"/>
  <c r="N96" i="2" s="1"/>
  <c r="N98" i="2" s="1"/>
  <c r="J95" i="2"/>
  <c r="J96" i="2" s="1"/>
  <c r="J98" i="2" s="1"/>
  <c r="O95" i="2"/>
  <c r="O96" i="2" s="1"/>
  <c r="O98" i="2" s="1"/>
  <c r="G95" i="2"/>
  <c r="G96" i="2" s="1"/>
  <c r="G98" i="2" s="1"/>
  <c r="H95" i="2"/>
  <c r="H96" i="2" s="1"/>
  <c r="H98" i="2" s="1"/>
  <c r="M95" i="2"/>
  <c r="M96" i="2" s="1"/>
  <c r="M98" i="2" s="1"/>
  <c r="E95" i="2"/>
  <c r="E96" i="2" s="1"/>
  <c r="E98" i="2" s="1"/>
  <c r="D95" i="2"/>
  <c r="D96" i="2" s="1"/>
  <c r="D98" i="2" s="1"/>
  <c r="F95" i="2"/>
  <c r="F96" i="2" s="1"/>
  <c r="F98" i="2" s="1"/>
  <c r="L95" i="2"/>
  <c r="L96" i="2" s="1"/>
  <c r="L98" i="2" s="1"/>
  <c r="I95" i="2"/>
  <c r="I96" i="2" s="1"/>
  <c r="I98" i="2" s="1"/>
</calcChain>
</file>

<file path=xl/sharedStrings.xml><?xml version="1.0" encoding="utf-8"?>
<sst xmlns="http://schemas.openxmlformats.org/spreadsheetml/2006/main" count="148" uniqueCount="60">
  <si>
    <t>System Parameters (defined by hardware)</t>
  </si>
  <si>
    <t>Profiles (usage of each component mode - defined by software and usage)</t>
  </si>
  <si>
    <t>form the datasheets</t>
  </si>
  <si>
    <t>"off"</t>
  </si>
  <si>
    <t>"sensing"</t>
  </si>
  <si>
    <t>"interactive"</t>
  </si>
  <si>
    <t>Processor</t>
  </si>
  <si>
    <t>Active</t>
  </si>
  <si>
    <t>mW</t>
  </si>
  <si>
    <t>Idle</t>
  </si>
  <si>
    <t>Sleep</t>
  </si>
  <si>
    <t>LED</t>
  </si>
  <si>
    <t>On</t>
  </si>
  <si>
    <t>Sensor</t>
  </si>
  <si>
    <t>Off</t>
  </si>
  <si>
    <t>Display</t>
  </si>
  <si>
    <t>Off (leakage)</t>
  </si>
  <si>
    <t>Radio</t>
  </si>
  <si>
    <t>Data Rate</t>
  </si>
  <si>
    <t>bps</t>
  </si>
  <si>
    <t>Total power in profile (mw)</t>
  </si>
  <si>
    <t xml:space="preserve">Maximum Time </t>
  </si>
  <si>
    <t>Standby Power</t>
  </si>
  <si>
    <t>hours</t>
  </si>
  <si>
    <t>TX Power</t>
  </si>
  <si>
    <t>RX Power</t>
  </si>
  <si>
    <t>hours/day typical usage</t>
  </si>
  <si>
    <t>Effective Battery Capacity</t>
  </si>
  <si>
    <t>Battery</t>
  </si>
  <si>
    <t>mW*h</t>
  </si>
  <si>
    <t>Capacity</t>
  </si>
  <si>
    <t>mAh</t>
  </si>
  <si>
    <t>Nominal Voltage</t>
  </si>
  <si>
    <t>V</t>
  </si>
  <si>
    <t>Days of Use</t>
  </si>
  <si>
    <t>days</t>
  </si>
  <si>
    <t>Regulator Efficiency</t>
  </si>
  <si>
    <t>Hours of Use</t>
  </si>
  <si>
    <t xml:space="preserve">REFLECTIONS : WHAT DID YOU LEARN FROM ANALYZING YOUR POWER.  TALK ABOUT SOME POTENTIAL TRADEOFFS. </t>
  </si>
  <si>
    <t>Linked Data from First Page DO NOT EDIT</t>
  </si>
  <si>
    <t>% change</t>
  </si>
  <si>
    <t>Parameter Name</t>
  </si>
  <si>
    <t>ProcessorActive</t>
  </si>
  <si>
    <t>ProcessorIdle</t>
  </si>
  <si>
    <t>ProcessorOff</t>
  </si>
  <si>
    <t>LEDOn</t>
  </si>
  <si>
    <t>SensorOn</t>
  </si>
  <si>
    <t>SensorIdle</t>
  </si>
  <si>
    <t>SensorOff</t>
  </si>
  <si>
    <t>DisplayOn</t>
  </si>
  <si>
    <t>DisplayOff</t>
  </si>
  <si>
    <t>RadioStandby</t>
  </si>
  <si>
    <t>RadioTX</t>
  </si>
  <si>
    <t>RadioRX</t>
  </si>
  <si>
    <t>Needle Gauge</t>
  </si>
  <si>
    <t>"alarmimg"</t>
  </si>
  <si>
    <t>"Setting"</t>
  </si>
  <si>
    <t>-</t>
  </si>
  <si>
    <t>Piezo Buzzer</t>
  </si>
  <si>
    <t>"Time keeping"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</si>
</sst>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14181F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0" xfId="0" applyFont="1"/>
    <xf numFmtId="9" fontId="1" fillId="2" borderId="0" xfId="0" applyNumberFormat="1" applyFont="1" applyFill="1"/>
    <xf numFmtId="9" fontId="3" fillId="2" borderId="0" xfId="0" applyNumberFormat="1" applyFont="1" applyFill="1"/>
    <xf numFmtId="1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164" fontId="1" fillId="3" borderId="0" xfId="0" applyNumberFormat="1" applyFont="1" applyFill="1"/>
    <xf numFmtId="0" fontId="2" fillId="4" borderId="0" xfId="0" applyFont="1" applyFill="1"/>
    <xf numFmtId="2" fontId="2" fillId="4" borderId="0" xfId="0" applyNumberFormat="1" applyFont="1" applyFill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9" fontId="1" fillId="0" borderId="0" xfId="0" applyNumberFormat="1" applyFont="1"/>
    <xf numFmtId="10" fontId="1" fillId="0" borderId="0" xfId="0" applyNumberFormat="1" applyFont="1"/>
    <xf numFmtId="43" fontId="1" fillId="0" borderId="2" xfId="1" applyFont="1" applyBorder="1"/>
    <xf numFmtId="43" fontId="0" fillId="0" borderId="0" xfId="1" applyFont="1"/>
    <xf numFmtId="43" fontId="3" fillId="0" borderId="0" xfId="1" applyFont="1"/>
    <xf numFmtId="43" fontId="3" fillId="2" borderId="0" xfId="1" applyFont="1" applyFill="1"/>
    <xf numFmtId="43" fontId="1" fillId="2" borderId="0" xfId="1" applyFont="1" applyFill="1"/>
    <xf numFmtId="43" fontId="1" fillId="0" borderId="0" xfId="1" applyFont="1"/>
    <xf numFmtId="43" fontId="1" fillId="0" borderId="7" xfId="1" applyFont="1" applyBorder="1"/>
    <xf numFmtId="0" fontId="5" fillId="0" borderId="0" xfId="0" applyFont="1"/>
    <xf numFmtId="43" fontId="5" fillId="0" borderId="0" xfId="1" applyFont="1"/>
    <xf numFmtId="0" fontId="6" fillId="0" borderId="0" xfId="0" applyFont="1"/>
    <xf numFmtId="0" fontId="5" fillId="0" borderId="0" xfId="0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'Sensitivity Analysis (Sensor)'!$D$99:$O$99</c:f>
              <c:strCache>
                <c:ptCount val="12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SensorOn</c:v>
                </c:pt>
                <c:pt idx="5">
                  <c:v>SensorIdle</c:v>
                </c:pt>
                <c:pt idx="6">
                  <c:v>SensorOff</c:v>
                </c:pt>
                <c:pt idx="7">
                  <c:v>DisplayOn</c:v>
                </c:pt>
                <c:pt idx="8">
                  <c:v>DisplayOff</c:v>
                </c:pt>
                <c:pt idx="9">
                  <c:v>RadioStandby</c:v>
                </c:pt>
                <c:pt idx="10">
                  <c:v>RadioTX</c:v>
                </c:pt>
                <c:pt idx="11">
                  <c:v>RadioRX</c:v>
                </c:pt>
              </c:strCache>
            </c:strRef>
          </c:cat>
          <c:val>
            <c:numRef>
              <c:f>'Sensitivity Analysis (Sensor)'!$D$98:$O$98</c:f>
              <c:numCache>
                <c:formatCode>0.00%</c:formatCode>
                <c:ptCount val="12"/>
                <c:pt idx="0">
                  <c:v>4.2037177455740427E-3</c:v>
                </c:pt>
                <c:pt idx="1">
                  <c:v>3.0137344603659244E-2</c:v>
                </c:pt>
                <c:pt idx="2">
                  <c:v>6.8124759169396754E-6</c:v>
                </c:pt>
                <c:pt idx="3">
                  <c:v>6.7454818302770114E-4</c:v>
                </c:pt>
                <c:pt idx="4">
                  <c:v>0</c:v>
                </c:pt>
                <c:pt idx="5">
                  <c:v>5.1552332007328561E-2</c:v>
                </c:pt>
                <c:pt idx="6">
                  <c:v>0</c:v>
                </c:pt>
                <c:pt idx="7">
                  <c:v>1.5748314136746711E-2</c:v>
                </c:pt>
                <c:pt idx="8">
                  <c:v>0</c:v>
                </c:pt>
                <c:pt idx="9">
                  <c:v>1.3500070108318774E-3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A-4847-B50F-67E35DB45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1453588"/>
        <c:axId val="1926219737"/>
      </c:barChart>
      <c:catAx>
        <c:axId val="951453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926219737"/>
        <c:crosses val="autoZero"/>
        <c:auto val="1"/>
        <c:lblAlgn val="ctr"/>
        <c:lblOffset val="100"/>
        <c:noMultiLvlLbl val="1"/>
      </c:catAx>
      <c:valAx>
        <c:axId val="1926219737"/>
        <c:scaling>
          <c:orientation val="minMax"/>
        </c:scaling>
        <c:delete val="0"/>
        <c:axPos val="l"/>
        <c:numFmt formatCode="0.00%" sourceLinked="1"/>
        <c:majorTickMark val="cross"/>
        <c:minorTickMark val="cross"/>
        <c:tickLblPos val="nextTo"/>
        <c:spPr>
          <a:ln>
            <a:noFill/>
          </a:ln>
        </c:spPr>
        <c:crossAx val="95145358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'Sensitivity Analysis (Sensor)'!$D$99:$O$99</c:f>
              <c:strCache>
                <c:ptCount val="12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SensorOn</c:v>
                </c:pt>
                <c:pt idx="5">
                  <c:v>SensorIdle</c:v>
                </c:pt>
                <c:pt idx="6">
                  <c:v>SensorOff</c:v>
                </c:pt>
                <c:pt idx="7">
                  <c:v>DisplayOn</c:v>
                </c:pt>
                <c:pt idx="8">
                  <c:v>DisplayOff</c:v>
                </c:pt>
                <c:pt idx="9">
                  <c:v>RadioStandby</c:v>
                </c:pt>
                <c:pt idx="10">
                  <c:v>RadioTX</c:v>
                </c:pt>
                <c:pt idx="11">
                  <c:v>RadioRX</c:v>
                </c:pt>
              </c:strCache>
            </c:strRef>
          </c:cat>
          <c:val>
            <c:numRef>
              <c:f>'Sensitivity Analysis (Sensor)'!$D$98:$O$98</c:f>
              <c:numCache>
                <c:formatCode>0.00%</c:formatCode>
                <c:ptCount val="12"/>
                <c:pt idx="0">
                  <c:v>4.2037177455740427E-3</c:v>
                </c:pt>
                <c:pt idx="1">
                  <c:v>3.0137344603659244E-2</c:v>
                </c:pt>
                <c:pt idx="2">
                  <c:v>6.8124759169396754E-6</c:v>
                </c:pt>
                <c:pt idx="3">
                  <c:v>6.7454818302770114E-4</c:v>
                </c:pt>
                <c:pt idx="4">
                  <c:v>0</c:v>
                </c:pt>
                <c:pt idx="5">
                  <c:v>5.1552332007328561E-2</c:v>
                </c:pt>
                <c:pt idx="6">
                  <c:v>0</c:v>
                </c:pt>
                <c:pt idx="7">
                  <c:v>1.5748314136746711E-2</c:v>
                </c:pt>
                <c:pt idx="8">
                  <c:v>0</c:v>
                </c:pt>
                <c:pt idx="9">
                  <c:v>1.3500070108318774E-3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7-5A4B-AA28-1C96FCD72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6239225"/>
        <c:axId val="686966420"/>
      </c:barChart>
      <c:catAx>
        <c:axId val="2016239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TH"/>
          </a:p>
        </c:txPr>
        <c:crossAx val="686966420"/>
        <c:crosses val="autoZero"/>
        <c:auto val="1"/>
        <c:lblAlgn val="ctr"/>
        <c:lblOffset val="100"/>
        <c:noMultiLvlLbl val="1"/>
      </c:catAx>
      <c:valAx>
        <c:axId val="686966420"/>
        <c:scaling>
          <c:orientation val="minMax"/>
        </c:scaling>
        <c:delete val="0"/>
        <c:axPos val="l"/>
        <c:numFmt formatCode="0.00%" sourceLinked="1"/>
        <c:majorTickMark val="cross"/>
        <c:minorTickMark val="cross"/>
        <c:tickLblPos val="nextTo"/>
        <c:spPr>
          <a:ln>
            <a:noFill/>
          </a:ln>
        </c:spPr>
        <c:crossAx val="201623922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'Sensitivity Analysis (Device'!$D$99:$O$99</c:f>
              <c:strCache>
                <c:ptCount val="12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SensorOn</c:v>
                </c:pt>
                <c:pt idx="5">
                  <c:v>SensorIdle</c:v>
                </c:pt>
                <c:pt idx="6">
                  <c:v>SensorOff</c:v>
                </c:pt>
                <c:pt idx="7">
                  <c:v>DisplayOn</c:v>
                </c:pt>
                <c:pt idx="8">
                  <c:v>DisplayOff</c:v>
                </c:pt>
                <c:pt idx="9">
                  <c:v>RadioStandby</c:v>
                </c:pt>
                <c:pt idx="10">
                  <c:v>RadioTX</c:v>
                </c:pt>
                <c:pt idx="11">
                  <c:v>RadioRX</c:v>
                </c:pt>
              </c:strCache>
            </c:strRef>
          </c:cat>
          <c:val>
            <c:numRef>
              <c:f>'Sensitivity Analysis (Device'!$D$98:$O$98</c:f>
              <c:numCache>
                <c:formatCode>0.00%</c:formatCode>
                <c:ptCount val="12"/>
                <c:pt idx="0">
                  <c:v>1.7027352420057262E-2</c:v>
                </c:pt>
                <c:pt idx="1">
                  <c:v>8.9778843903580707E-2</c:v>
                </c:pt>
                <c:pt idx="2">
                  <c:v>7.7906726842891239E-4</c:v>
                </c:pt>
                <c:pt idx="3">
                  <c:v>0</c:v>
                </c:pt>
                <c:pt idx="4">
                  <c:v>9.6645852013743649E-5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8-2D4C-8F08-1DD33BCA3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1453588"/>
        <c:axId val="1926219737"/>
      </c:barChart>
      <c:catAx>
        <c:axId val="951453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TH"/>
          </a:p>
        </c:txPr>
        <c:crossAx val="1926219737"/>
        <c:crosses val="autoZero"/>
        <c:auto val="1"/>
        <c:lblAlgn val="ctr"/>
        <c:lblOffset val="100"/>
        <c:noMultiLvlLbl val="1"/>
      </c:catAx>
      <c:valAx>
        <c:axId val="1926219737"/>
        <c:scaling>
          <c:orientation val="minMax"/>
        </c:scaling>
        <c:delete val="0"/>
        <c:axPos val="l"/>
        <c:numFmt formatCode="0.00%" sourceLinked="1"/>
        <c:majorTickMark val="cross"/>
        <c:minorTickMark val="cross"/>
        <c:tickLblPos val="nextTo"/>
        <c:spPr>
          <a:ln>
            <a:noFill/>
          </a:ln>
        </c:spPr>
        <c:crossAx val="95145358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'Sensitivity Analysis (Device'!$D$99:$O$99</c:f>
              <c:strCache>
                <c:ptCount val="12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SensorOn</c:v>
                </c:pt>
                <c:pt idx="5">
                  <c:v>SensorIdle</c:v>
                </c:pt>
                <c:pt idx="6">
                  <c:v>SensorOff</c:v>
                </c:pt>
                <c:pt idx="7">
                  <c:v>DisplayOn</c:v>
                </c:pt>
                <c:pt idx="8">
                  <c:v>DisplayOff</c:v>
                </c:pt>
                <c:pt idx="9">
                  <c:v>RadioStandby</c:v>
                </c:pt>
                <c:pt idx="10">
                  <c:v>RadioTX</c:v>
                </c:pt>
                <c:pt idx="11">
                  <c:v>RadioRX</c:v>
                </c:pt>
              </c:strCache>
            </c:strRef>
          </c:cat>
          <c:val>
            <c:numRef>
              <c:f>'Sensitivity Analysis (Device'!$D$98:$O$98</c:f>
              <c:numCache>
                <c:formatCode>0.00%</c:formatCode>
                <c:ptCount val="12"/>
                <c:pt idx="0">
                  <c:v>1.7027352420057262E-2</c:v>
                </c:pt>
                <c:pt idx="1">
                  <c:v>8.9778843903580707E-2</c:v>
                </c:pt>
                <c:pt idx="2">
                  <c:v>7.7906726842891239E-4</c:v>
                </c:pt>
                <c:pt idx="3">
                  <c:v>0</c:v>
                </c:pt>
                <c:pt idx="4">
                  <c:v>9.6645852013743649E-5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E-DD4E-A118-D1CABD5D0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6239225"/>
        <c:axId val="686966420"/>
      </c:barChart>
      <c:catAx>
        <c:axId val="2016239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TH"/>
          </a:p>
        </c:txPr>
        <c:crossAx val="686966420"/>
        <c:crosses val="autoZero"/>
        <c:auto val="1"/>
        <c:lblAlgn val="ctr"/>
        <c:lblOffset val="100"/>
        <c:noMultiLvlLbl val="1"/>
      </c:catAx>
      <c:valAx>
        <c:axId val="686966420"/>
        <c:scaling>
          <c:orientation val="minMax"/>
        </c:scaling>
        <c:delete val="0"/>
        <c:axPos val="l"/>
        <c:numFmt formatCode="0.00%" sourceLinked="1"/>
        <c:majorTickMark val="cross"/>
        <c:minorTickMark val="cross"/>
        <c:tickLblPos val="nextTo"/>
        <c:spPr>
          <a:ln>
            <a:noFill/>
          </a:ln>
        </c:spPr>
        <c:crossAx val="201623922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180975</xdr:rowOff>
    </xdr:from>
    <xdr:ext cx="6743700" cy="41719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361950</xdr:colOff>
      <xdr:row>7</xdr:row>
      <xdr:rowOff>95250</xdr:rowOff>
    </xdr:from>
    <xdr:ext cx="3086100" cy="638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723525" y="2928400"/>
          <a:ext cx="3064200" cy="615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“Days of use” changes by x %</a:t>
          </a:r>
          <a:endParaRPr sz="1400"/>
        </a:p>
      </xdr:txBody>
    </xdr:sp>
    <xdr:clientData fLocksWithSheet="0"/>
  </xdr:oneCellAnchor>
  <xdr:twoCellAnchor>
    <xdr:from>
      <xdr:col>0</xdr:col>
      <xdr:colOff>0</xdr:colOff>
      <xdr:row>38</xdr:row>
      <xdr:rowOff>165100</xdr:rowOff>
    </xdr:from>
    <xdr:to>
      <xdr:col>7</xdr:col>
      <xdr:colOff>228600</xdr:colOff>
      <xdr:row>69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BD705B4-8B23-77B1-994E-6F8A22C1887A}"/>
            </a:ext>
          </a:extLst>
        </xdr:cNvPr>
        <xdr:cNvSpPr txBox="1"/>
      </xdr:nvSpPr>
      <xdr:spPr>
        <a:xfrm>
          <a:off x="0" y="7404100"/>
          <a:ext cx="7391400" cy="5816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1. How did you determine your "days of use" metric?</a:t>
          </a:r>
        </a:p>
        <a:p>
          <a:r>
            <a:rPr lang="en-US"/>
            <a:t>Weighted average power = (97.65mW × 23h + 83.00mW × 1h) / 24h = </a:t>
          </a:r>
          <a:r>
            <a:rPr lang="en-US" b="1"/>
            <a:t>96.87 mW</a:t>
          </a:r>
          <a:endParaRPr lang="en-US"/>
        </a:p>
        <a:p>
          <a:r>
            <a:rPr lang="en-US"/>
            <a:t>Battery capacity = 500mAh × 3.7V × 0.95 = </a:t>
          </a:r>
          <a:r>
            <a:rPr lang="en-US" b="1"/>
            <a:t>1757.5 mWh</a:t>
          </a:r>
          <a:endParaRPr lang="en-US"/>
        </a:p>
        <a:p>
          <a:r>
            <a:rPr lang="en-US"/>
            <a:t>Days of use = 1757.5 / (96.87 × 24) = </a:t>
          </a:r>
          <a:r>
            <a:rPr lang="en-US" b="1"/>
            <a:t>0.76 days (18 hours)</a:t>
          </a:r>
          <a:endParaRPr lang="en-US"/>
        </a:p>
        <a:p>
          <a:r>
            <a:rPr lang="en-US"/>
            <a:t>Display consumes 66mW (68% of total power).</a:t>
          </a:r>
        </a:p>
        <a:p>
          <a:br>
            <a:rPr lang="en-US"/>
          </a:br>
          <a:endParaRPr lang="en-US"/>
        </a:p>
        <a:p>
          <a:r>
            <a:rPr lang="en-US" b="1"/>
            <a:t>2. What is the optimum battery size?</a:t>
          </a:r>
        </a:p>
        <a:p>
          <a:r>
            <a:rPr lang="en-US" b="1"/>
            <a:t>Recommended: 2000 mAh</a:t>
          </a:r>
          <a:endParaRPr lang="en-US"/>
        </a:p>
        <a:p>
          <a:r>
            <a:rPr lang="en-US"/>
            <a:t>Runtime: 72 hours (3 days)</a:t>
          </a:r>
        </a:p>
        <a:p>
          <a:r>
            <a:rPr lang="en-US"/>
            <a:t>Cost: $18</a:t>
          </a:r>
        </a:p>
        <a:p>
          <a:r>
            <a:rPr lang="en-US"/>
            <a:t>Provides weekly charging, good UX</a:t>
          </a:r>
        </a:p>
        <a:p>
          <a:r>
            <a:rPr lang="en-US"/>
            <a:t>Current 500mAh gives only 18 hours (insufficient).</a:t>
          </a:r>
        </a:p>
        <a:p>
          <a:br>
            <a:rPr lang="en-US"/>
          </a:br>
          <a:endParaRPr lang="en-US"/>
        </a:p>
        <a:p>
          <a:r>
            <a:rPr lang="en-US" b="1"/>
            <a:t>3. Hardware/software/cost/effort tradeoffs?</a:t>
          </a:r>
        </a:p>
        <a:p>
          <a:r>
            <a:rPr lang="en-US" b="1"/>
            <a:t>Best option: PIR sensor + display auto-off</a:t>
          </a:r>
          <a:endParaRPr lang="en-US"/>
        </a:p>
        <a:p>
          <a:r>
            <a:rPr lang="en-US"/>
            <a:t>Cost: $2</a:t>
          </a:r>
        </a:p>
        <a:p>
          <a:r>
            <a:rPr lang="en-US"/>
            <a:t>Effort: 2-3 days coding</a:t>
          </a:r>
        </a:p>
        <a:p>
          <a:r>
            <a:rPr lang="en-US"/>
            <a:t>Savings: 66mW → 7mW (89%)</a:t>
          </a:r>
        </a:p>
        <a:p>
          <a:r>
            <a:rPr lang="en-US"/>
            <a:t>Result: 18h → 70h runtime</a:t>
          </a:r>
        </a:p>
        <a:p>
          <a:r>
            <a:rPr lang="en-US" b="1"/>
            <a:t>Alternative: Deep sleep optimization</a:t>
          </a:r>
          <a:endParaRPr lang="en-US"/>
        </a:p>
        <a:p>
          <a:r>
            <a:rPr lang="en-US"/>
            <a:t>Cost: $0</a:t>
          </a:r>
        </a:p>
        <a:p>
          <a:r>
            <a:rPr lang="en-US"/>
            <a:t>Effort: 3-4 days</a:t>
          </a:r>
        </a:p>
        <a:p>
          <a:r>
            <a:rPr lang="en-US"/>
            <a:t>Savings: ~25mW</a:t>
          </a:r>
        </a:p>
        <a:p>
          <a:r>
            <a:rPr lang="en-US"/>
            <a:t>Result: 18h → 23h</a:t>
          </a:r>
        </a:p>
        <a:p>
          <a:r>
            <a:rPr lang="en-US" b="1"/>
            <a:t>Simplest: Upgrade to 2000mAh battery</a:t>
          </a:r>
          <a:endParaRPr lang="en-US"/>
        </a:p>
        <a:p>
          <a:r>
            <a:rPr lang="en-US"/>
            <a:t>Cost: $18</a:t>
          </a:r>
        </a:p>
        <a:p>
          <a:r>
            <a:rPr lang="en-US"/>
            <a:t>Effort: 0</a:t>
          </a:r>
        </a:p>
        <a:p>
          <a:r>
            <a:rPr lang="en-US"/>
            <a:t>Result: 18h → 72h</a:t>
          </a:r>
        </a:p>
        <a:p>
          <a:r>
            <a:rPr lang="en-US" b="1"/>
            <a:t>Recommended combo: $2 PIR + $12 (1000mAh) = $14, 4+ days runtime</a:t>
          </a:r>
          <a:endParaRPr lang="en-US"/>
        </a:p>
        <a:p>
          <a:endParaRPr lang="en-US" sz="1100"/>
        </a:p>
      </xdr:txBody>
    </xdr:sp>
    <xdr:clientData/>
  </xdr:twoCellAnchor>
  <xdr:twoCellAnchor>
    <xdr:from>
      <xdr:col>7</xdr:col>
      <xdr:colOff>482600</xdr:colOff>
      <xdr:row>39</xdr:row>
      <xdr:rowOff>12700</xdr:rowOff>
    </xdr:from>
    <xdr:to>
      <xdr:col>15</xdr:col>
      <xdr:colOff>152400</xdr:colOff>
      <xdr:row>57</xdr:row>
      <xdr:rowOff>88900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1E77367-9EF0-AC4C-8E73-A018761192A1}"/>
            </a:ext>
          </a:extLst>
        </xdr:cNvPr>
        <xdr:cNvSpPr txBox="1"/>
      </xdr:nvSpPr>
      <xdr:spPr>
        <a:xfrm>
          <a:off x="7645400" y="7442200"/>
          <a:ext cx="7391400" cy="3505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n-US"/>
          </a:br>
          <a:endParaRPr lang="en-US"/>
        </a:p>
        <a:p>
          <a:r>
            <a:rPr lang="en-US" b="1"/>
            <a:t>3. Hardware/software/cost/effort tradeoffs?</a:t>
          </a:r>
        </a:p>
        <a:p>
          <a:r>
            <a:rPr lang="en-US" b="1"/>
            <a:t>Best option: PIR sensor + display auto-off</a:t>
          </a:r>
          <a:endParaRPr lang="en-US"/>
        </a:p>
        <a:p>
          <a:r>
            <a:rPr lang="en-US"/>
            <a:t>Cost: $2</a:t>
          </a:r>
        </a:p>
        <a:p>
          <a:r>
            <a:rPr lang="en-US"/>
            <a:t>Effort: 2-3 days coding</a:t>
          </a:r>
        </a:p>
        <a:p>
          <a:r>
            <a:rPr lang="en-US"/>
            <a:t>Savings: 66mW → 7mW (89%)</a:t>
          </a:r>
        </a:p>
        <a:p>
          <a:r>
            <a:rPr lang="en-US"/>
            <a:t>Result: 18h → 70h runtime</a:t>
          </a:r>
        </a:p>
        <a:p>
          <a:r>
            <a:rPr lang="en-US" b="1"/>
            <a:t>Alternative: Deep sleep optimization</a:t>
          </a:r>
          <a:endParaRPr lang="en-US"/>
        </a:p>
        <a:p>
          <a:r>
            <a:rPr lang="en-US"/>
            <a:t>Cost: $0</a:t>
          </a:r>
        </a:p>
        <a:p>
          <a:r>
            <a:rPr lang="en-US"/>
            <a:t>Effort: 3-4 days</a:t>
          </a:r>
        </a:p>
        <a:p>
          <a:r>
            <a:rPr lang="en-US"/>
            <a:t>Savings: ~25mW</a:t>
          </a:r>
        </a:p>
        <a:p>
          <a:r>
            <a:rPr lang="en-US"/>
            <a:t>Result: 18h → 23h</a:t>
          </a:r>
        </a:p>
        <a:p>
          <a:r>
            <a:rPr lang="en-US" b="1"/>
            <a:t>Simplest: Upgrade to 2000mAh battery</a:t>
          </a:r>
          <a:endParaRPr lang="en-US"/>
        </a:p>
        <a:p>
          <a:r>
            <a:rPr lang="en-US"/>
            <a:t>Cost: $18</a:t>
          </a:r>
        </a:p>
        <a:p>
          <a:r>
            <a:rPr lang="en-US"/>
            <a:t>Effort: 0</a:t>
          </a:r>
        </a:p>
        <a:p>
          <a:r>
            <a:rPr lang="en-US"/>
            <a:t>Result: 18h → 72h</a:t>
          </a:r>
        </a:p>
        <a:p>
          <a:r>
            <a:rPr lang="en-US" b="1"/>
            <a:t>Recommended combo: $2 PIR + $12 (1000mAh) = $14, 4+ days runtime</a:t>
          </a:r>
          <a:endParaRPr lang="en-US"/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657225</xdr:colOff>
      <xdr:row>2</xdr:row>
      <xdr:rowOff>171450</xdr:rowOff>
    </xdr:from>
    <xdr:ext cx="6743700" cy="417195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561975</xdr:colOff>
      <xdr:row>9</xdr:row>
      <xdr:rowOff>47625</xdr:rowOff>
    </xdr:from>
    <xdr:ext cx="3371850" cy="8477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355075" y="2317525"/>
          <a:ext cx="3355200" cy="831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… “hours” of use changes by x%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180975</xdr:rowOff>
    </xdr:from>
    <xdr:ext cx="6743700" cy="41719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E1804DB1-2418-394F-8B52-5E19CE34D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361950</xdr:colOff>
      <xdr:row>7</xdr:row>
      <xdr:rowOff>95250</xdr:rowOff>
    </xdr:from>
    <xdr:ext cx="3086100" cy="638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BD42EC0-7CA9-624A-92F8-D241DB2CFE6E}"/>
            </a:ext>
          </a:extLst>
        </xdr:cNvPr>
        <xdr:cNvSpPr txBox="1"/>
      </xdr:nvSpPr>
      <xdr:spPr>
        <a:xfrm>
          <a:off x="12350750" y="1428750"/>
          <a:ext cx="3086100" cy="638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“Days of use” changes by x %</a:t>
          </a:r>
          <a:endParaRPr sz="1400"/>
        </a:p>
      </xdr:txBody>
    </xdr:sp>
    <xdr:clientData fLocksWithSheet="0"/>
  </xdr:oneCellAnchor>
  <xdr:twoCellAnchor>
    <xdr:from>
      <xdr:col>0</xdr:col>
      <xdr:colOff>88900</xdr:colOff>
      <xdr:row>38</xdr:row>
      <xdr:rowOff>165100</xdr:rowOff>
    </xdr:from>
    <xdr:to>
      <xdr:col>11</xdr:col>
      <xdr:colOff>25400</xdr:colOff>
      <xdr:row>55</xdr:row>
      <xdr:rowOff>63500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34B7B05-AD0A-E1D1-3C3C-52525B8CA221}"/>
            </a:ext>
          </a:extLst>
        </xdr:cNvPr>
        <xdr:cNvSpPr txBox="1"/>
      </xdr:nvSpPr>
      <xdr:spPr>
        <a:xfrm>
          <a:off x="88900" y="7404100"/>
          <a:ext cx="10960100" cy="313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b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How did you determine your "days of use" metric?</a:t>
          </a:r>
          <a:r>
            <a:rPr lang="en-US">
              <a:effectLst/>
            </a:rPr>
            <a:t> 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 Daily Power = (0.145mW × 16h + 36.963mW × 8h) / 24h = 12.42 mW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Battery Capacity = 1000mAh × 3.7V × 0.95 = 3515 mWh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Days of Use = 3515 mWh / (12.42mW × 24h) = 11.79 days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Calculated weighted average power across all operating modes (off 16h, sensing 8h), then divided battery capacity by daily energy consumption.</a:t>
          </a:r>
          <a:r>
            <a:rPr lang="en-US">
              <a:effectLst/>
            </a:rPr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What is the optimum battery size for your device?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500-600 mAh is optimal.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Reasoning: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1000mAh gives 11.79 days (oversized for 1-week target)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500mAh provides ~6 days runtime (acceptable weekly charging)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Benefits: Lighter (12g vs 25g), cheaper ($12 vs $15), better form factor for bedside alarm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Recommendation: EEMB 500mAh 3.7V LiPo</a:t>
          </a:r>
          <a:r>
            <a:rPr lang="en-US">
              <a:effectLst/>
            </a:rPr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Hardware/software/cost/effort tradeoffs to improve UX?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Top Improvements (Priority Order):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Interrupt-Driven Sensing 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savings: 75% (sensing mode: 37mW → 8mW)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Battery life: 6 days → 14+ days (with 500mAh)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Cost: $0 | Effort: 2-3 days coding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Impact: Major battery life improvement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USB-C Charging 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Cost: +$2 | Effort: None (same footprint)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Impact: Reversible connector, modern standard</a:t>
          </a:r>
          <a:r>
            <a:rPr lang="en-US">
              <a:effectLst/>
            </a:rPr>
            <a:t> </a:t>
          </a:r>
        </a:p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657225</xdr:colOff>
      <xdr:row>2</xdr:row>
      <xdr:rowOff>171450</xdr:rowOff>
    </xdr:from>
    <xdr:ext cx="6743700" cy="417195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40F8D1D5-FCB2-8F49-89EE-6D2C13C4D2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561975</xdr:colOff>
      <xdr:row>9</xdr:row>
      <xdr:rowOff>47625</xdr:rowOff>
    </xdr:from>
    <xdr:ext cx="3371850" cy="84772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F83861E5-CB27-434B-93D0-874148B51099}"/>
            </a:ext>
          </a:extLst>
        </xdr:cNvPr>
        <xdr:cNvSpPr txBox="1"/>
      </xdr:nvSpPr>
      <xdr:spPr>
        <a:xfrm>
          <a:off x="3457575" y="1762125"/>
          <a:ext cx="3371850" cy="847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… “hours” of use changes by x%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  <outlinePr summaryBelow="0" summaryRight="0"/>
  </sheetPr>
  <dimension ref="A2:Q87"/>
  <sheetViews>
    <sheetView zoomScale="80" zoomScaleNormal="80" workbookViewId="0">
      <selection activeCell="I64" sqref="I64"/>
    </sheetView>
  </sheetViews>
  <sheetFormatPr baseColWidth="10" defaultColWidth="12.6640625" defaultRowHeight="15.75" customHeight="1" x14ac:dyDescent="0.15"/>
  <cols>
    <col min="1" max="1" width="18" customWidth="1"/>
    <col min="2" max="2" width="12.6640625" style="23"/>
    <col min="5" max="5" width="12.6640625" customWidth="1"/>
  </cols>
  <sheetData>
    <row r="2" spans="1:9" ht="15.75" customHeight="1" x14ac:dyDescent="0.15">
      <c r="A2" s="1"/>
      <c r="B2" s="22"/>
      <c r="C2" s="2"/>
      <c r="D2" s="2"/>
      <c r="E2" s="2"/>
      <c r="F2" s="2"/>
      <c r="G2" s="2"/>
      <c r="H2" s="2"/>
      <c r="I2" s="3"/>
    </row>
    <row r="3" spans="1:9" ht="15.75" customHeight="1" x14ac:dyDescent="0.15">
      <c r="A3" s="4" t="s">
        <v>0</v>
      </c>
      <c r="E3" s="5" t="s">
        <v>1</v>
      </c>
      <c r="I3" s="6"/>
    </row>
    <row r="4" spans="1:9" ht="15.75" customHeight="1" x14ac:dyDescent="0.15">
      <c r="A4" s="7"/>
      <c r="B4" s="24" t="s">
        <v>2</v>
      </c>
      <c r="I4" s="6"/>
    </row>
    <row r="5" spans="1:9" ht="15.75" customHeight="1" x14ac:dyDescent="0.15">
      <c r="A5" s="7"/>
      <c r="E5" s="8" t="s">
        <v>59</v>
      </c>
      <c r="F5" s="8" t="s">
        <v>55</v>
      </c>
      <c r="G5" s="8" t="s">
        <v>56</v>
      </c>
      <c r="I5" s="6"/>
    </row>
    <row r="6" spans="1:9" ht="15.75" customHeight="1" x14ac:dyDescent="0.15">
      <c r="A6" s="4" t="s">
        <v>6</v>
      </c>
      <c r="I6" s="6"/>
    </row>
    <row r="7" spans="1:9" ht="15.75" customHeight="1" x14ac:dyDescent="0.15">
      <c r="A7" s="7" t="s">
        <v>7</v>
      </c>
      <c r="B7" s="25">
        <v>89.1</v>
      </c>
      <c r="C7" s="8" t="s">
        <v>8</v>
      </c>
      <c r="E7" s="9">
        <v>0.05</v>
      </c>
      <c r="F7" s="10">
        <v>0</v>
      </c>
      <c r="G7" s="9">
        <v>0.2</v>
      </c>
      <c r="I7" s="6"/>
    </row>
    <row r="8" spans="1:9" ht="15.75" customHeight="1" x14ac:dyDescent="0.15">
      <c r="A8" s="7" t="s">
        <v>9</v>
      </c>
      <c r="B8" s="26">
        <v>33</v>
      </c>
      <c r="C8" s="8" t="s">
        <v>8</v>
      </c>
      <c r="E8" s="9">
        <v>0.9</v>
      </c>
      <c r="F8" s="10">
        <v>1</v>
      </c>
      <c r="G8" s="9">
        <v>0.7</v>
      </c>
      <c r="I8" s="6"/>
    </row>
    <row r="9" spans="1:9" ht="15.75" customHeight="1" x14ac:dyDescent="0.15">
      <c r="A9" s="7" t="s">
        <v>10</v>
      </c>
      <c r="B9" s="26">
        <v>0.14499999999999999</v>
      </c>
      <c r="C9" s="8" t="s">
        <v>8</v>
      </c>
      <c r="E9" s="9">
        <v>0.05</v>
      </c>
      <c r="F9" s="9">
        <v>0</v>
      </c>
      <c r="G9" s="9">
        <v>0.1</v>
      </c>
      <c r="I9" s="6"/>
    </row>
    <row r="10" spans="1:9" ht="15.75" customHeight="1" x14ac:dyDescent="0.15">
      <c r="A10" s="7"/>
      <c r="I10" s="6"/>
    </row>
    <row r="11" spans="1:9" ht="15.75" customHeight="1" x14ac:dyDescent="0.15">
      <c r="A11" s="4" t="s">
        <v>11</v>
      </c>
      <c r="I11" s="6"/>
    </row>
    <row r="12" spans="1:9" ht="15.75" customHeight="1" x14ac:dyDescent="0.15">
      <c r="A12" s="7" t="s">
        <v>12</v>
      </c>
      <c r="B12" s="26">
        <v>16.5</v>
      </c>
      <c r="C12" s="8" t="s">
        <v>8</v>
      </c>
      <c r="E12" s="9">
        <v>0</v>
      </c>
      <c r="F12" s="9">
        <v>1</v>
      </c>
      <c r="G12" s="9">
        <v>0.5</v>
      </c>
      <c r="I12" s="6"/>
    </row>
    <row r="13" spans="1:9" ht="15.75" customHeight="1" x14ac:dyDescent="0.15">
      <c r="A13" s="7"/>
      <c r="B13" s="27"/>
      <c r="I13" s="6"/>
    </row>
    <row r="14" spans="1:9" ht="15.75" customHeight="1" x14ac:dyDescent="0.15">
      <c r="A14" s="7"/>
      <c r="B14" s="27"/>
      <c r="I14" s="6"/>
    </row>
    <row r="15" spans="1:9" ht="15.75" customHeight="1" x14ac:dyDescent="0.15">
      <c r="A15" s="4" t="s">
        <v>54</v>
      </c>
      <c r="B15" s="27"/>
      <c r="I15" s="6"/>
    </row>
    <row r="16" spans="1:9" ht="15.75" customHeight="1" x14ac:dyDescent="0.15">
      <c r="A16" s="7" t="s">
        <v>12</v>
      </c>
      <c r="B16" s="26">
        <v>750</v>
      </c>
      <c r="C16" s="8" t="s">
        <v>8</v>
      </c>
      <c r="E16" s="9">
        <v>0</v>
      </c>
      <c r="F16" s="9">
        <v>0</v>
      </c>
      <c r="G16" s="9">
        <v>0.05</v>
      </c>
      <c r="I16" s="6"/>
    </row>
    <row r="17" spans="1:17" ht="15.75" customHeight="1" x14ac:dyDescent="0.15">
      <c r="A17" s="7" t="s">
        <v>9</v>
      </c>
      <c r="B17" s="26">
        <v>50</v>
      </c>
      <c r="C17" s="8" t="s">
        <v>8</v>
      </c>
      <c r="E17" s="9">
        <v>1</v>
      </c>
      <c r="F17" s="9">
        <v>1</v>
      </c>
      <c r="G17" s="9">
        <v>0.95</v>
      </c>
      <c r="I17" s="6"/>
    </row>
    <row r="18" spans="1:17" ht="15.75" customHeight="1" x14ac:dyDescent="0.15">
      <c r="A18" s="7" t="s">
        <v>14</v>
      </c>
      <c r="B18" s="26">
        <v>0</v>
      </c>
      <c r="C18" s="8" t="s">
        <v>8</v>
      </c>
      <c r="E18" s="9">
        <v>0</v>
      </c>
      <c r="F18" s="9">
        <v>0</v>
      </c>
      <c r="G18" s="9">
        <v>0</v>
      </c>
      <c r="I18" s="6"/>
    </row>
    <row r="19" spans="1:17" ht="15.75" customHeight="1" x14ac:dyDescent="0.15">
      <c r="A19" s="7"/>
      <c r="B19" s="27"/>
      <c r="I19" s="6"/>
    </row>
    <row r="20" spans="1:17" ht="15.75" customHeight="1" x14ac:dyDescent="0.15">
      <c r="A20" s="4" t="s">
        <v>15</v>
      </c>
      <c r="B20" s="27"/>
      <c r="I20" s="6"/>
    </row>
    <row r="21" spans="1:17" ht="15.75" customHeight="1" x14ac:dyDescent="0.15">
      <c r="A21" s="7" t="s">
        <v>12</v>
      </c>
      <c r="B21" s="26">
        <v>16.5</v>
      </c>
      <c r="C21" s="8" t="s">
        <v>8</v>
      </c>
      <c r="E21" s="9">
        <v>1</v>
      </c>
      <c r="F21" s="9">
        <v>0</v>
      </c>
      <c r="G21" s="9">
        <v>0</v>
      </c>
      <c r="I21" s="6"/>
    </row>
    <row r="22" spans="1:17" ht="15.75" customHeight="1" x14ac:dyDescent="0.15">
      <c r="A22" s="7" t="s">
        <v>16</v>
      </c>
      <c r="B22" s="26">
        <v>0</v>
      </c>
      <c r="C22" s="8" t="s">
        <v>8</v>
      </c>
      <c r="E22" s="9">
        <v>0</v>
      </c>
      <c r="F22" s="9">
        <v>1</v>
      </c>
      <c r="G22" s="9">
        <v>1</v>
      </c>
      <c r="I22" s="6"/>
    </row>
    <row r="23" spans="1:17" ht="15.75" customHeight="1" x14ac:dyDescent="0.15">
      <c r="A23" s="7"/>
      <c r="I23" s="6"/>
    </row>
    <row r="24" spans="1:17" ht="15.75" customHeight="1" x14ac:dyDescent="0.15">
      <c r="A24" s="4" t="s">
        <v>58</v>
      </c>
      <c r="I24" s="6"/>
      <c r="K24" s="1"/>
      <c r="L24" s="2"/>
      <c r="M24" s="2"/>
      <c r="N24" s="2"/>
      <c r="O24" s="2"/>
      <c r="P24" s="2"/>
      <c r="Q24" s="3"/>
    </row>
    <row r="25" spans="1:17" ht="15.75" customHeight="1" x14ac:dyDescent="0.15">
      <c r="A25" s="7" t="s">
        <v>18</v>
      </c>
      <c r="B25" s="26">
        <v>0</v>
      </c>
      <c r="C25" s="8" t="s">
        <v>19</v>
      </c>
      <c r="E25" s="9">
        <v>0</v>
      </c>
      <c r="F25" s="9">
        <v>0</v>
      </c>
      <c r="G25" s="9">
        <v>0</v>
      </c>
      <c r="I25" s="6"/>
      <c r="K25" s="7"/>
      <c r="L25" s="13" t="s">
        <v>20</v>
      </c>
      <c r="M25" s="13"/>
      <c r="N25" s="13"/>
      <c r="O25" s="13" t="s">
        <v>21</v>
      </c>
      <c r="P25" s="13"/>
      <c r="Q25" s="6"/>
    </row>
    <row r="26" spans="1:17" ht="15.75" customHeight="1" x14ac:dyDescent="0.15">
      <c r="A26" s="7" t="s">
        <v>12</v>
      </c>
      <c r="B26" s="26">
        <v>33</v>
      </c>
      <c r="C26" s="8" t="s">
        <v>8</v>
      </c>
      <c r="E26" s="9">
        <v>0</v>
      </c>
      <c r="F26" s="9">
        <v>1</v>
      </c>
      <c r="G26" s="9">
        <v>0</v>
      </c>
      <c r="I26" s="6"/>
      <c r="K26" s="7"/>
      <c r="L26" s="13" t="str">
        <f>E5</f>
        <v>"Time keeping"</v>
      </c>
      <c r="M26" s="13">
        <f>SUMPRODUCT(B7:B28, E7:E28)</f>
        <v>100.66225</v>
      </c>
      <c r="N26" s="13" t="s">
        <v>8</v>
      </c>
      <c r="O26" s="14">
        <f t="shared" ref="O26:O27" si="0">$M$31/M26</f>
        <v>17.459375287160778</v>
      </c>
      <c r="P26" s="13" t="s">
        <v>23</v>
      </c>
      <c r="Q26" s="6"/>
    </row>
    <row r="27" spans="1:17" ht="15.75" customHeight="1" x14ac:dyDescent="0.15">
      <c r="A27" s="7" t="s">
        <v>57</v>
      </c>
      <c r="B27" s="26">
        <v>0</v>
      </c>
      <c r="C27" s="8" t="s">
        <v>8</v>
      </c>
      <c r="E27" s="9">
        <v>0</v>
      </c>
      <c r="F27" s="9">
        <v>0</v>
      </c>
      <c r="G27" s="9">
        <v>0</v>
      </c>
      <c r="I27" s="6"/>
      <c r="K27" s="7"/>
      <c r="L27" s="13" t="str">
        <f>F5</f>
        <v>"alarmimg"</v>
      </c>
      <c r="M27" s="13">
        <f>SUMPRODUCT(B7:B28, F7:F28)</f>
        <v>132.5</v>
      </c>
      <c r="N27" s="13" t="s">
        <v>8</v>
      </c>
      <c r="O27" s="14">
        <f t="shared" si="0"/>
        <v>13.264150943396226</v>
      </c>
      <c r="P27" s="13" t="s">
        <v>23</v>
      </c>
      <c r="Q27" s="6"/>
    </row>
    <row r="28" spans="1:17" ht="15.75" customHeight="1" x14ac:dyDescent="0.15">
      <c r="A28" s="7" t="s">
        <v>57</v>
      </c>
      <c r="B28" s="26">
        <v>0</v>
      </c>
      <c r="C28" s="8" t="s">
        <v>8</v>
      </c>
      <c r="E28" s="9">
        <v>0</v>
      </c>
      <c r="F28" s="9">
        <v>0</v>
      </c>
      <c r="G28" s="9">
        <v>0</v>
      </c>
      <c r="I28" s="6"/>
      <c r="K28" s="7"/>
      <c r="L28" s="13" t="str">
        <f>G5</f>
        <v>"Setting"</v>
      </c>
      <c r="M28" s="13">
        <f>SUMPRODUCT(B7:B28, G7:G28)</f>
        <v>134.18450000000001</v>
      </c>
      <c r="N28" s="13" t="s">
        <v>8</v>
      </c>
      <c r="O28" s="14">
        <f>$M$31/M28</f>
        <v>13.097637953712983</v>
      </c>
      <c r="P28" s="13" t="s">
        <v>23</v>
      </c>
      <c r="Q28" s="6"/>
    </row>
    <row r="29" spans="1:17" ht="15.75" customHeight="1" x14ac:dyDescent="0.15">
      <c r="A29" s="7"/>
      <c r="I29" s="6"/>
      <c r="K29" s="7"/>
      <c r="Q29" s="6"/>
    </row>
    <row r="30" spans="1:17" ht="15.75" customHeight="1" x14ac:dyDescent="0.15">
      <c r="A30" s="4"/>
      <c r="E30" s="12">
        <v>23</v>
      </c>
      <c r="F30" s="12">
        <v>1</v>
      </c>
      <c r="G30" s="12">
        <v>0</v>
      </c>
      <c r="H30" s="8" t="s">
        <v>26</v>
      </c>
      <c r="I30" s="6"/>
      <c r="K30" s="7"/>
      <c r="L30" s="8" t="s">
        <v>27</v>
      </c>
      <c r="Q30" s="6"/>
    </row>
    <row r="31" spans="1:17" ht="15.75" customHeight="1" x14ac:dyDescent="0.15">
      <c r="A31" s="4" t="s">
        <v>28</v>
      </c>
      <c r="I31" s="6"/>
      <c r="K31" s="7"/>
      <c r="M31" s="8">
        <f>B32*B33*B34</f>
        <v>1757.5</v>
      </c>
      <c r="N31" s="8" t="s">
        <v>29</v>
      </c>
      <c r="Q31" s="6"/>
    </row>
    <row r="32" spans="1:17" ht="15.75" customHeight="1" x14ac:dyDescent="0.15">
      <c r="A32" s="7" t="s">
        <v>30</v>
      </c>
      <c r="B32" s="26">
        <v>500</v>
      </c>
      <c r="C32" s="8" t="s">
        <v>31</v>
      </c>
      <c r="I32" s="6"/>
      <c r="K32" s="7"/>
      <c r="Q32" s="6"/>
    </row>
    <row r="33" spans="1:17" ht="15.75" customHeight="1" x14ac:dyDescent="0.15">
      <c r="A33" s="7" t="s">
        <v>32</v>
      </c>
      <c r="B33" s="26">
        <v>3.7</v>
      </c>
      <c r="C33" s="8" t="s">
        <v>33</v>
      </c>
      <c r="I33" s="6"/>
      <c r="K33" s="7"/>
      <c r="L33" s="15" t="s">
        <v>34</v>
      </c>
      <c r="M33" s="16">
        <f>M31/(E30*M26+F30*M27+G30*M28)</f>
        <v>0.71801168571678664</v>
      </c>
      <c r="N33" s="15" t="s">
        <v>35</v>
      </c>
      <c r="Q33" s="6"/>
    </row>
    <row r="34" spans="1:17" ht="15.75" customHeight="1" x14ac:dyDescent="0.15">
      <c r="A34" s="7" t="s">
        <v>36</v>
      </c>
      <c r="B34" s="26">
        <v>0.95</v>
      </c>
      <c r="I34" s="6"/>
      <c r="K34" s="7"/>
      <c r="L34" s="15" t="s">
        <v>37</v>
      </c>
      <c r="M34" s="16">
        <f>M33*24</f>
        <v>17.232280457202879</v>
      </c>
      <c r="N34" s="15" t="s">
        <v>23</v>
      </c>
      <c r="Q34" s="6"/>
    </row>
    <row r="35" spans="1:17" ht="15.75" customHeight="1" x14ac:dyDescent="0.15">
      <c r="A35" s="17"/>
      <c r="B35" s="28"/>
      <c r="C35" s="18"/>
      <c r="D35" s="18"/>
      <c r="E35" s="18"/>
      <c r="F35" s="18"/>
      <c r="G35" s="18"/>
      <c r="H35" s="18"/>
      <c r="I35" s="19"/>
      <c r="K35" s="17"/>
      <c r="L35" s="18"/>
      <c r="M35" s="18"/>
      <c r="N35" s="18"/>
      <c r="O35" s="18"/>
      <c r="P35" s="18"/>
      <c r="Q35" s="19"/>
    </row>
    <row r="38" spans="1:17" ht="15.75" customHeight="1" x14ac:dyDescent="0.15">
      <c r="A38" s="5" t="s">
        <v>38</v>
      </c>
    </row>
    <row r="40" spans="1:17" ht="15.75" customHeight="1" x14ac:dyDescent="0.15">
      <c r="A40" s="32"/>
      <c r="B40" s="30"/>
      <c r="C40" s="29"/>
      <c r="D40" s="29"/>
    </row>
    <row r="41" spans="1:17" ht="15.75" customHeight="1" x14ac:dyDescent="0.15">
      <c r="A41" s="29"/>
      <c r="B41" s="30"/>
      <c r="C41" s="29"/>
      <c r="D41" s="29"/>
    </row>
    <row r="42" spans="1:17" ht="15.75" customHeight="1" x14ac:dyDescent="0.15">
      <c r="A42" s="31"/>
      <c r="B42" s="30"/>
      <c r="C42" s="29"/>
      <c r="D42" s="29"/>
    </row>
    <row r="43" spans="1:17" ht="15.75" customHeight="1" x14ac:dyDescent="0.15">
      <c r="A43" s="31"/>
      <c r="B43" s="30"/>
      <c r="C43" s="29"/>
      <c r="D43" s="29"/>
    </row>
    <row r="44" spans="1:17" ht="15.75" customHeight="1" x14ac:dyDescent="0.15">
      <c r="A44" s="31"/>
      <c r="B44" s="30"/>
      <c r="C44" s="29"/>
      <c r="D44" s="29"/>
    </row>
    <row r="45" spans="1:17" ht="15.75" customHeight="1" x14ac:dyDescent="0.15">
      <c r="A45" s="29"/>
      <c r="B45" s="30"/>
      <c r="C45" s="29"/>
      <c r="D45" s="29"/>
    </row>
    <row r="46" spans="1:17" ht="15.75" customHeight="1" x14ac:dyDescent="0.15">
      <c r="A46" s="29"/>
      <c r="B46" s="30"/>
      <c r="C46" s="29"/>
      <c r="D46" s="29"/>
    </row>
    <row r="47" spans="1:17" ht="15.75" customHeight="1" x14ac:dyDescent="0.15">
      <c r="A47" s="29"/>
      <c r="B47" s="30"/>
      <c r="C47" s="29"/>
      <c r="D47" s="29"/>
    </row>
    <row r="48" spans="1:17" ht="15.75" customHeight="1" x14ac:dyDescent="0.15">
      <c r="A48" s="29"/>
      <c r="B48" s="30"/>
      <c r="C48" s="29"/>
      <c r="D48" s="29"/>
    </row>
    <row r="49" spans="1:4" ht="15.75" customHeight="1" x14ac:dyDescent="0.15">
      <c r="A49" s="29"/>
      <c r="B49" s="30"/>
      <c r="C49" s="29"/>
      <c r="D49" s="29"/>
    </row>
    <row r="50" spans="1:4" ht="15.75" customHeight="1" x14ac:dyDescent="0.15">
      <c r="A50" s="29"/>
      <c r="B50" s="30"/>
      <c r="C50" s="29"/>
      <c r="D50" s="29"/>
    </row>
    <row r="51" spans="1:4" ht="15.75" customHeight="1" x14ac:dyDescent="0.15">
      <c r="A51" s="29"/>
      <c r="B51" s="30"/>
      <c r="C51" s="29"/>
      <c r="D51" s="29"/>
    </row>
    <row r="52" spans="1:4" ht="15.75" customHeight="1" x14ac:dyDescent="0.15">
      <c r="A52" s="29"/>
      <c r="B52" s="30"/>
      <c r="C52" s="29"/>
      <c r="D52" s="29"/>
    </row>
    <row r="53" spans="1:4" ht="15.75" customHeight="1" x14ac:dyDescent="0.15">
      <c r="A53" s="29"/>
      <c r="B53" s="30"/>
      <c r="C53" s="29"/>
      <c r="D53" s="29"/>
    </row>
    <row r="54" spans="1:4" ht="15.75" customHeight="1" x14ac:dyDescent="0.15">
      <c r="A54" s="29"/>
      <c r="B54" s="30"/>
      <c r="C54" s="29"/>
      <c r="D54" s="29"/>
    </row>
    <row r="55" spans="1:4" ht="15.75" customHeight="1" x14ac:dyDescent="0.15">
      <c r="A55" s="29"/>
      <c r="B55" s="30"/>
      <c r="C55" s="29"/>
      <c r="D55" s="29"/>
    </row>
    <row r="56" spans="1:4" ht="15.75" customHeight="1" x14ac:dyDescent="0.15">
      <c r="A56" s="29"/>
      <c r="B56" s="30"/>
      <c r="C56" s="29"/>
      <c r="D56" s="29"/>
    </row>
    <row r="57" spans="1:4" ht="15.75" customHeight="1" x14ac:dyDescent="0.15">
      <c r="A57" s="29"/>
      <c r="B57" s="30"/>
      <c r="C57" s="29"/>
      <c r="D57" s="29"/>
    </row>
    <row r="58" spans="1:4" ht="15.75" customHeight="1" x14ac:dyDescent="0.15">
      <c r="A58" s="29"/>
      <c r="B58" s="30"/>
      <c r="C58" s="29"/>
      <c r="D58" s="29"/>
    </row>
    <row r="59" spans="1:4" ht="15.75" customHeight="1" x14ac:dyDescent="0.15">
      <c r="A59" s="29"/>
      <c r="B59" s="30"/>
      <c r="C59" s="29"/>
      <c r="D59" s="29"/>
    </row>
    <row r="60" spans="1:4" ht="15.75" customHeight="1" x14ac:dyDescent="0.15">
      <c r="A60" s="29"/>
      <c r="B60" s="30"/>
      <c r="C60" s="29"/>
      <c r="D60" s="29"/>
    </row>
    <row r="61" spans="1:4" ht="15.75" customHeight="1" x14ac:dyDescent="0.15">
      <c r="A61" s="29"/>
      <c r="B61" s="30"/>
      <c r="C61" s="29"/>
      <c r="D61" s="29"/>
    </row>
    <row r="62" spans="1:4" ht="15.75" customHeight="1" x14ac:dyDescent="0.15">
      <c r="A62" s="29"/>
      <c r="B62" s="30"/>
      <c r="C62" s="29"/>
      <c r="D62" s="29"/>
    </row>
    <row r="63" spans="1:4" ht="15.75" customHeight="1" x14ac:dyDescent="0.15">
      <c r="A63" s="29"/>
      <c r="B63" s="30"/>
      <c r="C63" s="29"/>
      <c r="D63" s="29"/>
    </row>
    <row r="64" spans="1:4" ht="15.75" customHeight="1" x14ac:dyDescent="0.15">
      <c r="A64" s="29"/>
      <c r="B64" s="30"/>
      <c r="C64" s="29"/>
      <c r="D64" s="29"/>
    </row>
    <row r="65" spans="1:4" ht="15.75" customHeight="1" x14ac:dyDescent="0.15">
      <c r="A65" s="29"/>
      <c r="B65" s="30"/>
      <c r="C65" s="29"/>
      <c r="D65" s="29"/>
    </row>
    <row r="66" spans="1:4" ht="15.75" customHeight="1" x14ac:dyDescent="0.15">
      <c r="A66" s="29"/>
      <c r="B66" s="30"/>
      <c r="C66" s="29"/>
      <c r="D66" s="29"/>
    </row>
    <row r="67" spans="1:4" ht="15.75" customHeight="1" x14ac:dyDescent="0.15">
      <c r="A67" s="29"/>
      <c r="B67" s="30"/>
      <c r="C67" s="29"/>
      <c r="D67" s="29"/>
    </row>
    <row r="68" spans="1:4" ht="15.75" customHeight="1" x14ac:dyDescent="0.15">
      <c r="A68" s="29"/>
      <c r="B68" s="30"/>
      <c r="C68" s="29"/>
      <c r="D68" s="29"/>
    </row>
    <row r="69" spans="1:4" ht="15.75" customHeight="1" x14ac:dyDescent="0.15">
      <c r="A69" s="29"/>
      <c r="B69" s="30"/>
      <c r="C69" s="29"/>
      <c r="D69" s="29"/>
    </row>
    <row r="70" spans="1:4" ht="15.75" customHeight="1" x14ac:dyDescent="0.15">
      <c r="A70" s="29"/>
      <c r="B70" s="30"/>
      <c r="C70" s="29"/>
      <c r="D70" s="29"/>
    </row>
    <row r="71" spans="1:4" ht="15.75" customHeight="1" x14ac:dyDescent="0.15">
      <c r="A71" s="29"/>
      <c r="B71" s="30"/>
      <c r="C71" s="29"/>
      <c r="D71" s="29"/>
    </row>
    <row r="72" spans="1:4" ht="15.75" customHeight="1" x14ac:dyDescent="0.15">
      <c r="A72" s="29"/>
      <c r="B72" s="30"/>
      <c r="C72" s="29"/>
      <c r="D72" s="29"/>
    </row>
    <row r="73" spans="1:4" ht="15.75" customHeight="1" x14ac:dyDescent="0.15">
      <c r="A73" s="29"/>
      <c r="B73" s="30"/>
      <c r="C73" s="29"/>
      <c r="D73" s="29"/>
    </row>
    <row r="74" spans="1:4" ht="15.75" customHeight="1" x14ac:dyDescent="0.15">
      <c r="A74" s="29"/>
      <c r="B74" s="30"/>
      <c r="C74" s="29"/>
      <c r="D74" s="29"/>
    </row>
    <row r="75" spans="1:4" ht="15.75" customHeight="1" x14ac:dyDescent="0.15">
      <c r="A75" s="29"/>
      <c r="B75" s="30"/>
      <c r="C75" s="29"/>
      <c r="D75" s="29"/>
    </row>
    <row r="76" spans="1:4" ht="15.75" customHeight="1" x14ac:dyDescent="0.15">
      <c r="A76" s="29"/>
      <c r="B76" s="30"/>
      <c r="C76" s="29"/>
      <c r="D76" s="29"/>
    </row>
    <row r="77" spans="1:4" ht="15.75" customHeight="1" x14ac:dyDescent="0.15">
      <c r="A77" s="29"/>
      <c r="B77" s="30"/>
      <c r="C77" s="29"/>
      <c r="D77" s="29"/>
    </row>
    <row r="78" spans="1:4" ht="15.75" customHeight="1" x14ac:dyDescent="0.15">
      <c r="A78" s="29"/>
      <c r="B78" s="30"/>
      <c r="C78" s="29"/>
      <c r="D78" s="29"/>
    </row>
    <row r="79" spans="1:4" ht="15.75" customHeight="1" x14ac:dyDescent="0.15">
      <c r="A79" s="29"/>
      <c r="B79" s="30"/>
      <c r="C79" s="29"/>
      <c r="D79" s="29"/>
    </row>
    <row r="80" spans="1:4" ht="15.75" customHeight="1" x14ac:dyDescent="0.15">
      <c r="A80" s="29"/>
      <c r="B80" s="30"/>
      <c r="C80" s="29"/>
      <c r="D80" s="29"/>
    </row>
    <row r="81" spans="1:4" ht="15.75" customHeight="1" x14ac:dyDescent="0.15">
      <c r="A81" s="29"/>
      <c r="B81" s="30"/>
      <c r="C81" s="29"/>
      <c r="D81" s="29"/>
    </row>
    <row r="82" spans="1:4" ht="15.75" customHeight="1" x14ac:dyDescent="0.15">
      <c r="A82" s="29"/>
      <c r="B82" s="30"/>
      <c r="C82" s="29"/>
      <c r="D82" s="29"/>
    </row>
    <row r="83" spans="1:4" ht="15.75" customHeight="1" x14ac:dyDescent="0.15">
      <c r="A83" s="29"/>
      <c r="B83" s="30"/>
      <c r="C83" s="29"/>
      <c r="D83" s="29"/>
    </row>
    <row r="84" spans="1:4" ht="15.75" customHeight="1" x14ac:dyDescent="0.15">
      <c r="A84" s="29"/>
      <c r="B84" s="30"/>
      <c r="C84" s="29"/>
      <c r="D84" s="29"/>
    </row>
    <row r="85" spans="1:4" ht="15.75" customHeight="1" x14ac:dyDescent="0.15">
      <c r="A85" s="29"/>
      <c r="B85" s="30"/>
      <c r="C85" s="29"/>
      <c r="D85" s="29"/>
    </row>
    <row r="86" spans="1:4" ht="15.75" customHeight="1" x14ac:dyDescent="0.15">
      <c r="A86" s="29"/>
      <c r="B86" s="30"/>
      <c r="C86" s="29"/>
      <c r="D86" s="29"/>
    </row>
    <row r="87" spans="1:4" ht="15.75" customHeight="1" x14ac:dyDescent="0.15">
      <c r="A87" s="29"/>
      <c r="B87" s="30"/>
      <c r="C87" s="29"/>
      <c r="D87" s="2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  <outlinePr summaryBelow="0" summaryRight="0"/>
  </sheetPr>
  <dimension ref="A50:W118"/>
  <sheetViews>
    <sheetView topLeftCell="A47" workbookViewId="0">
      <selection activeCell="C87" sqref="C87"/>
    </sheetView>
  </sheetViews>
  <sheetFormatPr baseColWidth="10" defaultColWidth="12.6640625" defaultRowHeight="15.75" customHeight="1" x14ac:dyDescent="0.15"/>
  <sheetData>
    <row r="50" spans="1:23" ht="15.75" customHeight="1" x14ac:dyDescent="0.15">
      <c r="A50" s="8" t="s">
        <v>39</v>
      </c>
    </row>
    <row r="52" spans="1:23" ht="15.75" customHeight="1" x14ac:dyDescent="0.15">
      <c r="A52" s="8" t="str">
        <f>'System Parameters (Sensor)'!A3</f>
        <v>System Parameters (defined by hardware)</v>
      </c>
      <c r="B52" s="8">
        <f>'System Parameters (Sensor)'!B3</f>
        <v>0</v>
      </c>
      <c r="C52" s="8">
        <f>'System Parameters (Sensor)'!C3</f>
        <v>0</v>
      </c>
      <c r="D52" s="8">
        <f>'System Parameters (Sensor)'!D3</f>
        <v>0</v>
      </c>
      <c r="T52" s="8" t="str">
        <f>'System Parameters (Sensor)'!E3</f>
        <v>Profiles (usage of each component mode - defined by software and usage)</v>
      </c>
      <c r="U52" s="8">
        <f>'System Parameters (Sensor)'!F3</f>
        <v>0</v>
      </c>
      <c r="V52" s="8">
        <f>'System Parameters (Sensor)'!G3</f>
        <v>0</v>
      </c>
      <c r="W52" s="8">
        <f>'System Parameters (Sensor)'!H3</f>
        <v>0</v>
      </c>
    </row>
    <row r="53" spans="1:23" ht="13" x14ac:dyDescent="0.15">
      <c r="A53" s="8">
        <f>'System Parameters (Sensor)'!A4</f>
        <v>0</v>
      </c>
      <c r="B53" s="8" t="str">
        <f>'System Parameters (Sensor)'!B4</f>
        <v>form the datasheets</v>
      </c>
      <c r="C53" s="8">
        <f>'System Parameters (Sensor)'!C4</f>
        <v>0</v>
      </c>
      <c r="D53" s="8">
        <f>'System Parameters (Sensor)'!D4</f>
        <v>0</v>
      </c>
      <c r="T53" s="8">
        <f>'System Parameters (Sensor)'!E4</f>
        <v>0</v>
      </c>
      <c r="U53" s="8">
        <f>'System Parameters (Sensor)'!F4</f>
        <v>0</v>
      </c>
      <c r="V53" s="8">
        <f>'System Parameters (Sensor)'!G4</f>
        <v>0</v>
      </c>
      <c r="W53" s="8">
        <f>'System Parameters (Sensor)'!H4</f>
        <v>0</v>
      </c>
    </row>
    <row r="54" spans="1:23" ht="13" x14ac:dyDescent="0.15">
      <c r="A54" s="8">
        <f>'System Parameters (Sensor)'!A5</f>
        <v>0</v>
      </c>
      <c r="B54" s="8">
        <f>'System Parameters (Sensor)'!B5</f>
        <v>0</v>
      </c>
      <c r="C54" s="8">
        <f>'System Parameters (Sensor)'!C5</f>
        <v>0</v>
      </c>
      <c r="D54" s="8">
        <f>'System Parameters (Sensor)'!D5</f>
        <v>0</v>
      </c>
      <c r="T54" s="8" t="str">
        <f>'System Parameters (Sensor)'!E5</f>
        <v>"Time keeping"</v>
      </c>
      <c r="U54" s="8" t="str">
        <f>'System Parameters (Sensor)'!F5</f>
        <v>"alarmimg"</v>
      </c>
      <c r="V54" s="8" t="str">
        <f>'System Parameters (Sensor)'!G5</f>
        <v>"Setting"</v>
      </c>
      <c r="W54" s="8">
        <f>'System Parameters (Sensor)'!H5</f>
        <v>0</v>
      </c>
    </row>
    <row r="55" spans="1:23" ht="13" x14ac:dyDescent="0.15">
      <c r="A55" s="8" t="str">
        <f>'System Parameters (Sensor)'!A6</f>
        <v>Processor</v>
      </c>
      <c r="B55" s="8">
        <f>'System Parameters (Sensor)'!B6</f>
        <v>0</v>
      </c>
      <c r="C55" s="8">
        <f>'System Parameters (Sensor)'!C6</f>
        <v>0</v>
      </c>
      <c r="D55" s="8">
        <f>'System Parameters (Sensor)'!D6</f>
        <v>0</v>
      </c>
      <c r="T55" s="8">
        <f>'System Parameters (Sensor)'!E6</f>
        <v>0</v>
      </c>
      <c r="U55" s="8">
        <f>'System Parameters (Sensor)'!F6</f>
        <v>0</v>
      </c>
      <c r="V55" s="8">
        <f>'System Parameters (Sensor)'!G6</f>
        <v>0</v>
      </c>
      <c r="W55" s="8">
        <f>'System Parameters (Sensor)'!H6</f>
        <v>0</v>
      </c>
    </row>
    <row r="56" spans="1:23" ht="13" x14ac:dyDescent="0.15">
      <c r="A56" s="8" t="str">
        <f>'System Parameters (Sensor)'!A7</f>
        <v>Active</v>
      </c>
      <c r="B56" s="11">
        <f>'System Parameters (Sensor)'!B7</f>
        <v>89.1</v>
      </c>
      <c r="C56" s="8" t="str">
        <f>'System Parameters (Sensor)'!C7</f>
        <v>mW</v>
      </c>
      <c r="D56" s="8">
        <f>$B56*0.9</f>
        <v>80.19</v>
      </c>
      <c r="E56" s="11">
        <f t="shared" ref="E56:O56" si="0">$B56</f>
        <v>89.1</v>
      </c>
      <c r="F56" s="11">
        <f t="shared" si="0"/>
        <v>89.1</v>
      </c>
      <c r="G56" s="11">
        <f t="shared" si="0"/>
        <v>89.1</v>
      </c>
      <c r="H56" s="11">
        <f t="shared" si="0"/>
        <v>89.1</v>
      </c>
      <c r="I56" s="11">
        <f t="shared" si="0"/>
        <v>89.1</v>
      </c>
      <c r="J56" s="11">
        <f t="shared" si="0"/>
        <v>89.1</v>
      </c>
      <c r="K56" s="11">
        <f t="shared" si="0"/>
        <v>89.1</v>
      </c>
      <c r="L56" s="11">
        <f t="shared" si="0"/>
        <v>89.1</v>
      </c>
      <c r="M56" s="11">
        <f t="shared" si="0"/>
        <v>89.1</v>
      </c>
      <c r="N56" s="11">
        <f t="shared" si="0"/>
        <v>89.1</v>
      </c>
      <c r="O56" s="11">
        <f t="shared" si="0"/>
        <v>89.1</v>
      </c>
      <c r="T56" s="20">
        <f>'System Parameters (Sensor)'!E7</f>
        <v>0.05</v>
      </c>
      <c r="U56" s="20">
        <f>'System Parameters (Sensor)'!F7</f>
        <v>0</v>
      </c>
      <c r="V56" s="20">
        <f>'System Parameters (Sensor)'!G7</f>
        <v>0.2</v>
      </c>
      <c r="W56" s="8">
        <f>'System Parameters (Sensor)'!H7</f>
        <v>0</v>
      </c>
    </row>
    <row r="57" spans="1:23" ht="13" x14ac:dyDescent="0.15">
      <c r="A57" s="8" t="str">
        <f>'System Parameters (Sensor)'!A8</f>
        <v>Idle</v>
      </c>
      <c r="B57" s="11">
        <f>'System Parameters (Sensor)'!B8</f>
        <v>33</v>
      </c>
      <c r="C57" s="8" t="str">
        <f>'System Parameters (Sensor)'!C8</f>
        <v>mW</v>
      </c>
      <c r="D57" s="11">
        <f t="shared" ref="D57:D76" si="1">$B57</f>
        <v>33</v>
      </c>
      <c r="E57" s="8">
        <f>$B57*0.9</f>
        <v>29.7</v>
      </c>
      <c r="F57" s="11">
        <f t="shared" ref="F57:O57" si="2">$B57</f>
        <v>33</v>
      </c>
      <c r="G57" s="11">
        <f t="shared" si="2"/>
        <v>33</v>
      </c>
      <c r="H57" s="11">
        <f t="shared" si="2"/>
        <v>33</v>
      </c>
      <c r="I57" s="11">
        <f t="shared" si="2"/>
        <v>33</v>
      </c>
      <c r="J57" s="11">
        <f t="shared" si="2"/>
        <v>33</v>
      </c>
      <c r="K57" s="11">
        <f t="shared" si="2"/>
        <v>33</v>
      </c>
      <c r="L57" s="11">
        <f t="shared" si="2"/>
        <v>33</v>
      </c>
      <c r="M57" s="11">
        <f t="shared" si="2"/>
        <v>33</v>
      </c>
      <c r="N57" s="11">
        <f t="shared" si="2"/>
        <v>33</v>
      </c>
      <c r="O57" s="11">
        <f t="shared" si="2"/>
        <v>33</v>
      </c>
      <c r="T57" s="20">
        <f>'System Parameters (Sensor)'!E8</f>
        <v>0.9</v>
      </c>
      <c r="U57" s="20">
        <f>'System Parameters (Sensor)'!F8</f>
        <v>1</v>
      </c>
      <c r="V57" s="20">
        <f>'System Parameters (Sensor)'!G8</f>
        <v>0.7</v>
      </c>
      <c r="W57" s="8">
        <f>'System Parameters (Sensor)'!H8</f>
        <v>0</v>
      </c>
    </row>
    <row r="58" spans="1:23" ht="13" x14ac:dyDescent="0.15">
      <c r="A58" s="8" t="str">
        <f>'System Parameters (Sensor)'!A9</f>
        <v>Sleep</v>
      </c>
      <c r="B58" s="11">
        <f>'System Parameters (Sensor)'!B9</f>
        <v>0.14499999999999999</v>
      </c>
      <c r="C58" s="8" t="str">
        <f>'System Parameters (Sensor)'!C9</f>
        <v>mW</v>
      </c>
      <c r="D58" s="11">
        <f t="shared" si="1"/>
        <v>0.14499999999999999</v>
      </c>
      <c r="E58" s="11">
        <f t="shared" ref="E58:E76" si="3">$B58</f>
        <v>0.14499999999999999</v>
      </c>
      <c r="F58" s="8">
        <f>$B58*0.9</f>
        <v>0.1305</v>
      </c>
      <c r="G58" s="11">
        <f t="shared" ref="G58:O58" si="4">$B58</f>
        <v>0.14499999999999999</v>
      </c>
      <c r="H58" s="11">
        <f t="shared" si="4"/>
        <v>0.14499999999999999</v>
      </c>
      <c r="I58" s="11">
        <f t="shared" si="4"/>
        <v>0.14499999999999999</v>
      </c>
      <c r="J58" s="11">
        <f t="shared" si="4"/>
        <v>0.14499999999999999</v>
      </c>
      <c r="K58" s="11">
        <f t="shared" si="4"/>
        <v>0.14499999999999999</v>
      </c>
      <c r="L58" s="11">
        <f t="shared" si="4"/>
        <v>0.14499999999999999</v>
      </c>
      <c r="M58" s="11">
        <f t="shared" si="4"/>
        <v>0.14499999999999999</v>
      </c>
      <c r="N58" s="11">
        <f t="shared" si="4"/>
        <v>0.14499999999999999</v>
      </c>
      <c r="O58" s="11">
        <f t="shared" si="4"/>
        <v>0.14499999999999999</v>
      </c>
      <c r="T58" s="20">
        <f>'System Parameters (Sensor)'!E9</f>
        <v>0.05</v>
      </c>
      <c r="U58" s="20">
        <f>'System Parameters (Sensor)'!F9</f>
        <v>0</v>
      </c>
      <c r="V58" s="20">
        <f>'System Parameters (Sensor)'!G9</f>
        <v>0.1</v>
      </c>
      <c r="W58" s="8">
        <f>'System Parameters (Sensor)'!H9</f>
        <v>0</v>
      </c>
    </row>
    <row r="59" spans="1:23" ht="13" x14ac:dyDescent="0.15">
      <c r="A59" s="8">
        <f>'System Parameters (Sensor)'!A10</f>
        <v>0</v>
      </c>
      <c r="B59" s="8">
        <f>'System Parameters (Sensor)'!B10</f>
        <v>0</v>
      </c>
      <c r="C59" s="8">
        <f>'System Parameters (Sensor)'!C10</f>
        <v>0</v>
      </c>
      <c r="D59" s="8">
        <f t="shared" si="1"/>
        <v>0</v>
      </c>
      <c r="E59" s="8">
        <f t="shared" si="3"/>
        <v>0</v>
      </c>
      <c r="F59" s="8">
        <f t="shared" ref="F59:O59" si="5">$B59</f>
        <v>0</v>
      </c>
      <c r="G59" s="8">
        <f t="shared" si="5"/>
        <v>0</v>
      </c>
      <c r="H59" s="8">
        <f t="shared" si="5"/>
        <v>0</v>
      </c>
      <c r="I59" s="8">
        <f t="shared" si="5"/>
        <v>0</v>
      </c>
      <c r="J59" s="8">
        <f t="shared" si="5"/>
        <v>0</v>
      </c>
      <c r="K59" s="8">
        <f t="shared" si="5"/>
        <v>0</v>
      </c>
      <c r="L59" s="8">
        <f t="shared" si="5"/>
        <v>0</v>
      </c>
      <c r="M59" s="8">
        <f t="shared" si="5"/>
        <v>0</v>
      </c>
      <c r="N59" s="8">
        <f t="shared" si="5"/>
        <v>0</v>
      </c>
      <c r="O59" s="8">
        <f t="shared" si="5"/>
        <v>0</v>
      </c>
      <c r="T59" s="8">
        <f>'System Parameters (Sensor)'!E10</f>
        <v>0</v>
      </c>
      <c r="U59" s="8">
        <f>'System Parameters (Sensor)'!F10</f>
        <v>0</v>
      </c>
      <c r="V59" s="8">
        <f>'System Parameters (Sensor)'!G10</f>
        <v>0</v>
      </c>
      <c r="W59" s="8">
        <f>'System Parameters (Sensor)'!H10</f>
        <v>0</v>
      </c>
    </row>
    <row r="60" spans="1:23" ht="13" x14ac:dyDescent="0.15">
      <c r="A60" s="8" t="str">
        <f>'System Parameters (Sensor)'!A11</f>
        <v>LED</v>
      </c>
      <c r="B60" s="8">
        <f>'System Parameters (Sensor)'!B11</f>
        <v>0</v>
      </c>
      <c r="C60" s="8">
        <f>'System Parameters (Sensor)'!C11</f>
        <v>0</v>
      </c>
      <c r="D60" s="8">
        <f t="shared" si="1"/>
        <v>0</v>
      </c>
      <c r="E60" s="8">
        <f t="shared" si="3"/>
        <v>0</v>
      </c>
      <c r="F60" s="8">
        <f t="shared" ref="F60:O60" si="6">$B60</f>
        <v>0</v>
      </c>
      <c r="G60" s="8">
        <f t="shared" si="6"/>
        <v>0</v>
      </c>
      <c r="H60" s="8">
        <f t="shared" si="6"/>
        <v>0</v>
      </c>
      <c r="I60" s="8">
        <f t="shared" si="6"/>
        <v>0</v>
      </c>
      <c r="J60" s="8">
        <f t="shared" si="6"/>
        <v>0</v>
      </c>
      <c r="K60" s="8">
        <f t="shared" si="6"/>
        <v>0</v>
      </c>
      <c r="L60" s="8">
        <f t="shared" si="6"/>
        <v>0</v>
      </c>
      <c r="M60" s="8">
        <f t="shared" si="6"/>
        <v>0</v>
      </c>
      <c r="N60" s="8">
        <f t="shared" si="6"/>
        <v>0</v>
      </c>
      <c r="O60" s="8">
        <f t="shared" si="6"/>
        <v>0</v>
      </c>
      <c r="T60" s="8">
        <f>'System Parameters (Sensor)'!E11</f>
        <v>0</v>
      </c>
      <c r="U60" s="8">
        <f>'System Parameters (Sensor)'!F11</f>
        <v>0</v>
      </c>
      <c r="V60" s="8">
        <f>'System Parameters (Sensor)'!G11</f>
        <v>0</v>
      </c>
      <c r="W60" s="8">
        <f>'System Parameters (Sensor)'!H11</f>
        <v>0</v>
      </c>
    </row>
    <row r="61" spans="1:23" ht="13" x14ac:dyDescent="0.15">
      <c r="A61" s="8" t="str">
        <f>'System Parameters (Sensor)'!A12</f>
        <v>On</v>
      </c>
      <c r="B61" s="11">
        <f>'System Parameters (Sensor)'!B12</f>
        <v>16.5</v>
      </c>
      <c r="C61" s="8" t="str">
        <f>'System Parameters (Sensor)'!C12</f>
        <v>mW</v>
      </c>
      <c r="D61" s="11">
        <f t="shared" si="1"/>
        <v>16.5</v>
      </c>
      <c r="E61" s="11">
        <f t="shared" si="3"/>
        <v>16.5</v>
      </c>
      <c r="F61" s="11">
        <f t="shared" ref="F61:F76" si="7">$B61</f>
        <v>16.5</v>
      </c>
      <c r="G61" s="8">
        <f>$B61*0.9</f>
        <v>14.85</v>
      </c>
      <c r="H61" s="11">
        <f t="shared" ref="H61:O61" si="8">$B61</f>
        <v>16.5</v>
      </c>
      <c r="I61" s="11">
        <f t="shared" si="8"/>
        <v>16.5</v>
      </c>
      <c r="J61" s="11">
        <f t="shared" si="8"/>
        <v>16.5</v>
      </c>
      <c r="K61" s="11">
        <f t="shared" si="8"/>
        <v>16.5</v>
      </c>
      <c r="L61" s="11">
        <f t="shared" si="8"/>
        <v>16.5</v>
      </c>
      <c r="M61" s="11">
        <f t="shared" si="8"/>
        <v>16.5</v>
      </c>
      <c r="N61" s="11">
        <f t="shared" si="8"/>
        <v>16.5</v>
      </c>
      <c r="O61" s="11">
        <f t="shared" si="8"/>
        <v>16.5</v>
      </c>
      <c r="T61" s="20">
        <f>'System Parameters (Sensor)'!E12</f>
        <v>0</v>
      </c>
      <c r="U61" s="20">
        <f>'System Parameters (Sensor)'!F12</f>
        <v>1</v>
      </c>
      <c r="V61" s="20">
        <f>'System Parameters (Sensor)'!G12</f>
        <v>0.5</v>
      </c>
      <c r="W61" s="8">
        <f>'System Parameters (Sensor)'!H12</f>
        <v>0</v>
      </c>
    </row>
    <row r="62" spans="1:23" ht="13" x14ac:dyDescent="0.15">
      <c r="A62" s="8">
        <f>'System Parameters (Sensor)'!A13</f>
        <v>0</v>
      </c>
      <c r="B62" s="11">
        <f>'System Parameters (Sensor)'!B13</f>
        <v>0</v>
      </c>
      <c r="C62" s="8">
        <f>'System Parameters (Sensor)'!C13</f>
        <v>0</v>
      </c>
      <c r="D62" s="11">
        <f t="shared" si="1"/>
        <v>0</v>
      </c>
      <c r="E62" s="11">
        <f t="shared" si="3"/>
        <v>0</v>
      </c>
      <c r="F62" s="11">
        <f t="shared" si="7"/>
        <v>0</v>
      </c>
      <c r="G62" s="11">
        <f t="shared" ref="G62:O62" si="9">$B62</f>
        <v>0</v>
      </c>
      <c r="H62" s="11">
        <f t="shared" si="9"/>
        <v>0</v>
      </c>
      <c r="I62" s="11">
        <f t="shared" si="9"/>
        <v>0</v>
      </c>
      <c r="J62" s="11">
        <f t="shared" si="9"/>
        <v>0</v>
      </c>
      <c r="K62" s="11">
        <f t="shared" si="9"/>
        <v>0</v>
      </c>
      <c r="L62" s="11">
        <f t="shared" si="9"/>
        <v>0</v>
      </c>
      <c r="M62" s="11">
        <f t="shared" si="9"/>
        <v>0</v>
      </c>
      <c r="N62" s="11">
        <f t="shared" si="9"/>
        <v>0</v>
      </c>
      <c r="O62" s="11">
        <f t="shared" si="9"/>
        <v>0</v>
      </c>
      <c r="T62" s="8">
        <f>'System Parameters (Sensor)'!E13</f>
        <v>0</v>
      </c>
      <c r="U62" s="8">
        <f>'System Parameters (Sensor)'!F13</f>
        <v>0</v>
      </c>
      <c r="V62" s="8">
        <f>'System Parameters (Sensor)'!G13</f>
        <v>0</v>
      </c>
      <c r="W62" s="8">
        <f>'System Parameters (Sensor)'!H13</f>
        <v>0</v>
      </c>
    </row>
    <row r="63" spans="1:23" ht="13" x14ac:dyDescent="0.15">
      <c r="A63" s="8">
        <f>'System Parameters (Sensor)'!A14</f>
        <v>0</v>
      </c>
      <c r="B63" s="11">
        <f>'System Parameters (Sensor)'!B14</f>
        <v>0</v>
      </c>
      <c r="C63" s="8">
        <f>'System Parameters (Sensor)'!C14</f>
        <v>0</v>
      </c>
      <c r="D63" s="11">
        <f t="shared" si="1"/>
        <v>0</v>
      </c>
      <c r="E63" s="11">
        <f t="shared" si="3"/>
        <v>0</v>
      </c>
      <c r="F63" s="11">
        <f t="shared" si="7"/>
        <v>0</v>
      </c>
      <c r="G63" s="11">
        <f t="shared" ref="G63:O63" si="10">$B63</f>
        <v>0</v>
      </c>
      <c r="H63" s="11">
        <f t="shared" si="10"/>
        <v>0</v>
      </c>
      <c r="I63" s="11">
        <f t="shared" si="10"/>
        <v>0</v>
      </c>
      <c r="J63" s="11">
        <f t="shared" si="10"/>
        <v>0</v>
      </c>
      <c r="K63" s="11">
        <f t="shared" si="10"/>
        <v>0</v>
      </c>
      <c r="L63" s="11">
        <f t="shared" si="10"/>
        <v>0</v>
      </c>
      <c r="M63" s="11">
        <f t="shared" si="10"/>
        <v>0</v>
      </c>
      <c r="N63" s="11">
        <f t="shared" si="10"/>
        <v>0</v>
      </c>
      <c r="O63" s="11">
        <f t="shared" si="10"/>
        <v>0</v>
      </c>
      <c r="T63" s="8">
        <f>'System Parameters (Sensor)'!E14</f>
        <v>0</v>
      </c>
      <c r="U63" s="8">
        <f>'System Parameters (Sensor)'!F14</f>
        <v>0</v>
      </c>
      <c r="V63" s="8">
        <f>'System Parameters (Sensor)'!G14</f>
        <v>0</v>
      </c>
      <c r="W63" s="8">
        <f>'System Parameters (Sensor)'!H14</f>
        <v>0</v>
      </c>
    </row>
    <row r="64" spans="1:23" ht="13" x14ac:dyDescent="0.15">
      <c r="A64" s="8" t="str">
        <f>'System Parameters (Sensor)'!A15</f>
        <v>Needle Gauge</v>
      </c>
      <c r="B64" s="11">
        <f>'System Parameters (Sensor)'!B15</f>
        <v>0</v>
      </c>
      <c r="C64" s="8">
        <f>'System Parameters (Sensor)'!C15</f>
        <v>0</v>
      </c>
      <c r="D64" s="11">
        <f t="shared" si="1"/>
        <v>0</v>
      </c>
      <c r="E64" s="11">
        <f t="shared" si="3"/>
        <v>0</v>
      </c>
      <c r="F64" s="11">
        <f t="shared" si="7"/>
        <v>0</v>
      </c>
      <c r="G64" s="11">
        <f t="shared" ref="G64:O64" si="11">$B64</f>
        <v>0</v>
      </c>
      <c r="H64" s="11">
        <f t="shared" si="11"/>
        <v>0</v>
      </c>
      <c r="I64" s="11">
        <f t="shared" si="11"/>
        <v>0</v>
      </c>
      <c r="J64" s="11">
        <f t="shared" si="11"/>
        <v>0</v>
      </c>
      <c r="K64" s="11">
        <f t="shared" si="11"/>
        <v>0</v>
      </c>
      <c r="L64" s="11">
        <f t="shared" si="11"/>
        <v>0</v>
      </c>
      <c r="M64" s="11">
        <f t="shared" si="11"/>
        <v>0</v>
      </c>
      <c r="N64" s="11">
        <f t="shared" si="11"/>
        <v>0</v>
      </c>
      <c r="O64" s="11">
        <f t="shared" si="11"/>
        <v>0</v>
      </c>
      <c r="T64" s="8">
        <f>'System Parameters (Sensor)'!E15</f>
        <v>0</v>
      </c>
      <c r="U64" s="8">
        <f>'System Parameters (Sensor)'!F15</f>
        <v>0</v>
      </c>
      <c r="V64" s="8">
        <f>'System Parameters (Sensor)'!G15</f>
        <v>0</v>
      </c>
      <c r="W64" s="8">
        <f>'System Parameters (Sensor)'!H15</f>
        <v>0</v>
      </c>
    </row>
    <row r="65" spans="1:23" ht="13" x14ac:dyDescent="0.15">
      <c r="A65" s="8" t="str">
        <f>'System Parameters (Sensor)'!A16</f>
        <v>On</v>
      </c>
      <c r="B65" s="11">
        <f>'System Parameters (Sensor)'!B16</f>
        <v>750</v>
      </c>
      <c r="C65" s="8" t="str">
        <f>'System Parameters (Sensor)'!C16</f>
        <v>mW</v>
      </c>
      <c r="D65" s="11">
        <f t="shared" si="1"/>
        <v>750</v>
      </c>
      <c r="E65" s="11">
        <f t="shared" si="3"/>
        <v>750</v>
      </c>
      <c r="F65" s="11">
        <f t="shared" si="7"/>
        <v>750</v>
      </c>
      <c r="G65" s="11">
        <f t="shared" ref="G65:G76" si="12">$B65</f>
        <v>750</v>
      </c>
      <c r="H65" s="8">
        <f>$B65*0.9</f>
        <v>675</v>
      </c>
      <c r="I65" s="11">
        <f t="shared" ref="I65:O65" si="13">$B65</f>
        <v>750</v>
      </c>
      <c r="J65" s="11">
        <f t="shared" si="13"/>
        <v>750</v>
      </c>
      <c r="K65" s="11">
        <f t="shared" si="13"/>
        <v>750</v>
      </c>
      <c r="L65" s="11">
        <f t="shared" si="13"/>
        <v>750</v>
      </c>
      <c r="M65" s="11">
        <f t="shared" si="13"/>
        <v>750</v>
      </c>
      <c r="N65" s="11">
        <f t="shared" si="13"/>
        <v>750</v>
      </c>
      <c r="O65" s="11">
        <f t="shared" si="13"/>
        <v>750</v>
      </c>
      <c r="T65" s="20">
        <f>'System Parameters (Sensor)'!E16</f>
        <v>0</v>
      </c>
      <c r="U65" s="20">
        <f>'System Parameters (Sensor)'!F16</f>
        <v>0</v>
      </c>
      <c r="V65" s="20">
        <f>'System Parameters (Sensor)'!G16</f>
        <v>0.05</v>
      </c>
      <c r="W65" s="8">
        <f>'System Parameters (Sensor)'!H16</f>
        <v>0</v>
      </c>
    </row>
    <row r="66" spans="1:23" ht="13" x14ac:dyDescent="0.15">
      <c r="A66" s="8" t="str">
        <f>'System Parameters (Sensor)'!A17</f>
        <v>Idle</v>
      </c>
      <c r="B66" s="11">
        <f>'System Parameters (Sensor)'!B17</f>
        <v>50</v>
      </c>
      <c r="C66" s="8" t="str">
        <f>'System Parameters (Sensor)'!C17</f>
        <v>mW</v>
      </c>
      <c r="D66" s="11">
        <f t="shared" si="1"/>
        <v>50</v>
      </c>
      <c r="E66" s="11">
        <f t="shared" si="3"/>
        <v>50</v>
      </c>
      <c r="F66" s="11">
        <f t="shared" si="7"/>
        <v>50</v>
      </c>
      <c r="G66" s="11">
        <f t="shared" si="12"/>
        <v>50</v>
      </c>
      <c r="H66" s="11">
        <f t="shared" ref="H66:H76" si="14">$B66</f>
        <v>50</v>
      </c>
      <c r="I66" s="8">
        <f>$B66*0.9</f>
        <v>45</v>
      </c>
      <c r="J66" s="11">
        <f t="shared" ref="J66:O66" si="15">$B66</f>
        <v>50</v>
      </c>
      <c r="K66" s="11">
        <f t="shared" si="15"/>
        <v>50</v>
      </c>
      <c r="L66" s="11">
        <f t="shared" si="15"/>
        <v>50</v>
      </c>
      <c r="M66" s="11">
        <f t="shared" si="15"/>
        <v>50</v>
      </c>
      <c r="N66" s="11">
        <f t="shared" si="15"/>
        <v>50</v>
      </c>
      <c r="O66" s="11">
        <f t="shared" si="15"/>
        <v>50</v>
      </c>
      <c r="T66" s="20">
        <f>'System Parameters (Sensor)'!E17</f>
        <v>1</v>
      </c>
      <c r="U66" s="20">
        <f>'System Parameters (Sensor)'!F17</f>
        <v>1</v>
      </c>
      <c r="V66" s="20">
        <f>'System Parameters (Sensor)'!G17</f>
        <v>0.95</v>
      </c>
      <c r="W66" s="8">
        <f>'System Parameters (Sensor)'!H17</f>
        <v>0</v>
      </c>
    </row>
    <row r="67" spans="1:23" ht="13" x14ac:dyDescent="0.15">
      <c r="A67" s="8" t="str">
        <f>'System Parameters (Sensor)'!A18</f>
        <v>Off</v>
      </c>
      <c r="B67" s="11">
        <f>'System Parameters (Sensor)'!B18</f>
        <v>0</v>
      </c>
      <c r="C67" s="8" t="str">
        <f>'System Parameters (Sensor)'!C18</f>
        <v>mW</v>
      </c>
      <c r="D67" s="11">
        <f t="shared" si="1"/>
        <v>0</v>
      </c>
      <c r="E67" s="11">
        <f t="shared" si="3"/>
        <v>0</v>
      </c>
      <c r="F67" s="11">
        <f t="shared" si="7"/>
        <v>0</v>
      </c>
      <c r="G67" s="11">
        <f t="shared" si="12"/>
        <v>0</v>
      </c>
      <c r="H67" s="11">
        <f t="shared" si="14"/>
        <v>0</v>
      </c>
      <c r="I67" s="11">
        <f t="shared" ref="I67:I76" si="16">$B67</f>
        <v>0</v>
      </c>
      <c r="J67" s="8">
        <f>$B67*0.9</f>
        <v>0</v>
      </c>
      <c r="K67" s="11">
        <f t="shared" ref="K67:O67" si="17">$B67</f>
        <v>0</v>
      </c>
      <c r="L67" s="11">
        <f t="shared" si="17"/>
        <v>0</v>
      </c>
      <c r="M67" s="11">
        <f t="shared" si="17"/>
        <v>0</v>
      </c>
      <c r="N67" s="11">
        <f t="shared" si="17"/>
        <v>0</v>
      </c>
      <c r="O67" s="11">
        <f t="shared" si="17"/>
        <v>0</v>
      </c>
      <c r="T67" s="20">
        <f>'System Parameters (Sensor)'!E18</f>
        <v>0</v>
      </c>
      <c r="U67" s="20">
        <f>'System Parameters (Sensor)'!F18</f>
        <v>0</v>
      </c>
      <c r="V67" s="20">
        <f>'System Parameters (Sensor)'!G18</f>
        <v>0</v>
      </c>
      <c r="W67" s="8">
        <f>'System Parameters (Sensor)'!H18</f>
        <v>0</v>
      </c>
    </row>
    <row r="68" spans="1:23" ht="13" x14ac:dyDescent="0.15">
      <c r="A68" s="8">
        <f>'System Parameters (Sensor)'!A19</f>
        <v>0</v>
      </c>
      <c r="B68" s="11">
        <f>'System Parameters (Sensor)'!B19</f>
        <v>0</v>
      </c>
      <c r="C68" s="8">
        <f>'System Parameters (Sensor)'!C19</f>
        <v>0</v>
      </c>
      <c r="D68" s="11">
        <f t="shared" si="1"/>
        <v>0</v>
      </c>
      <c r="E68" s="11">
        <f t="shared" si="3"/>
        <v>0</v>
      </c>
      <c r="F68" s="11">
        <f t="shared" si="7"/>
        <v>0</v>
      </c>
      <c r="G68" s="11">
        <f t="shared" si="12"/>
        <v>0</v>
      </c>
      <c r="H68" s="11">
        <f t="shared" si="14"/>
        <v>0</v>
      </c>
      <c r="I68" s="11">
        <f t="shared" si="16"/>
        <v>0</v>
      </c>
      <c r="J68" s="11">
        <f t="shared" ref="J68:O68" si="18">$B68</f>
        <v>0</v>
      </c>
      <c r="K68" s="11">
        <f t="shared" si="18"/>
        <v>0</v>
      </c>
      <c r="L68" s="11">
        <f t="shared" si="18"/>
        <v>0</v>
      </c>
      <c r="M68" s="11">
        <f t="shared" si="18"/>
        <v>0</v>
      </c>
      <c r="N68" s="11">
        <f t="shared" si="18"/>
        <v>0</v>
      </c>
      <c r="O68" s="11">
        <f t="shared" si="18"/>
        <v>0</v>
      </c>
      <c r="T68" s="8">
        <f>'System Parameters (Sensor)'!E19</f>
        <v>0</v>
      </c>
      <c r="U68" s="8">
        <f>'System Parameters (Sensor)'!F19</f>
        <v>0</v>
      </c>
      <c r="V68" s="8">
        <f>'System Parameters (Sensor)'!G19</f>
        <v>0</v>
      </c>
      <c r="W68" s="8">
        <f>'System Parameters (Sensor)'!H19</f>
        <v>0</v>
      </c>
    </row>
    <row r="69" spans="1:23" ht="13" x14ac:dyDescent="0.15">
      <c r="A69" s="8" t="str">
        <f>'System Parameters (Sensor)'!A20</f>
        <v>Display</v>
      </c>
      <c r="B69" s="11">
        <f>'System Parameters (Sensor)'!B20</f>
        <v>0</v>
      </c>
      <c r="C69" s="8">
        <f>'System Parameters (Sensor)'!C20</f>
        <v>0</v>
      </c>
      <c r="D69" s="11">
        <f t="shared" si="1"/>
        <v>0</v>
      </c>
      <c r="E69" s="11">
        <f t="shared" si="3"/>
        <v>0</v>
      </c>
      <c r="F69" s="11">
        <f t="shared" si="7"/>
        <v>0</v>
      </c>
      <c r="G69" s="11">
        <f t="shared" si="12"/>
        <v>0</v>
      </c>
      <c r="H69" s="11">
        <f t="shared" si="14"/>
        <v>0</v>
      </c>
      <c r="I69" s="11">
        <f t="shared" si="16"/>
        <v>0</v>
      </c>
      <c r="J69" s="11">
        <f t="shared" ref="J69:O69" si="19">$B69</f>
        <v>0</v>
      </c>
      <c r="K69" s="11">
        <f t="shared" si="19"/>
        <v>0</v>
      </c>
      <c r="L69" s="11">
        <f t="shared" si="19"/>
        <v>0</v>
      </c>
      <c r="M69" s="11">
        <f t="shared" si="19"/>
        <v>0</v>
      </c>
      <c r="N69" s="11">
        <f t="shared" si="19"/>
        <v>0</v>
      </c>
      <c r="O69" s="11">
        <f t="shared" si="19"/>
        <v>0</v>
      </c>
      <c r="T69" s="8">
        <f>'System Parameters (Sensor)'!E20</f>
        <v>0</v>
      </c>
      <c r="U69" s="8">
        <f>'System Parameters (Sensor)'!F20</f>
        <v>0</v>
      </c>
      <c r="V69" s="8">
        <f>'System Parameters (Sensor)'!G20</f>
        <v>0</v>
      </c>
      <c r="W69" s="8">
        <f>'System Parameters (Sensor)'!H20</f>
        <v>0</v>
      </c>
    </row>
    <row r="70" spans="1:23" ht="13" x14ac:dyDescent="0.15">
      <c r="A70" s="8" t="str">
        <f>'System Parameters (Sensor)'!A21</f>
        <v>On</v>
      </c>
      <c r="B70" s="11">
        <f>'System Parameters (Sensor)'!B21</f>
        <v>16.5</v>
      </c>
      <c r="C70" s="8" t="str">
        <f>'System Parameters (Sensor)'!C21</f>
        <v>mW</v>
      </c>
      <c r="D70" s="11">
        <f t="shared" si="1"/>
        <v>16.5</v>
      </c>
      <c r="E70" s="11">
        <f t="shared" si="3"/>
        <v>16.5</v>
      </c>
      <c r="F70" s="11">
        <f t="shared" si="7"/>
        <v>16.5</v>
      </c>
      <c r="G70" s="11">
        <f t="shared" si="12"/>
        <v>16.5</v>
      </c>
      <c r="H70" s="11">
        <f t="shared" si="14"/>
        <v>16.5</v>
      </c>
      <c r="I70" s="11">
        <f t="shared" si="16"/>
        <v>16.5</v>
      </c>
      <c r="J70" s="11">
        <f t="shared" ref="J70:J76" si="20">$B70</f>
        <v>16.5</v>
      </c>
      <c r="K70" s="8">
        <f>$B70*0.9</f>
        <v>14.85</v>
      </c>
      <c r="L70" s="11">
        <f t="shared" ref="L70:O70" si="21">$B70</f>
        <v>16.5</v>
      </c>
      <c r="M70" s="11">
        <f t="shared" si="21"/>
        <v>16.5</v>
      </c>
      <c r="N70" s="11">
        <f t="shared" si="21"/>
        <v>16.5</v>
      </c>
      <c r="O70" s="11">
        <f t="shared" si="21"/>
        <v>16.5</v>
      </c>
      <c r="T70" s="20">
        <f>'System Parameters (Sensor)'!E21</f>
        <v>1</v>
      </c>
      <c r="U70" s="20">
        <f>'System Parameters (Sensor)'!F21</f>
        <v>0</v>
      </c>
      <c r="V70" s="20">
        <f>'System Parameters (Sensor)'!G21</f>
        <v>0</v>
      </c>
      <c r="W70" s="8">
        <f>'System Parameters (Sensor)'!H21</f>
        <v>0</v>
      </c>
    </row>
    <row r="71" spans="1:23" ht="13" x14ac:dyDescent="0.15">
      <c r="A71" s="8" t="str">
        <f>'System Parameters (Sensor)'!A22</f>
        <v>Off (leakage)</v>
      </c>
      <c r="B71" s="11">
        <f>'System Parameters (Sensor)'!B22</f>
        <v>0</v>
      </c>
      <c r="C71" s="8" t="str">
        <f>'System Parameters (Sensor)'!C22</f>
        <v>mW</v>
      </c>
      <c r="D71" s="11">
        <f t="shared" si="1"/>
        <v>0</v>
      </c>
      <c r="E71" s="11">
        <f t="shared" si="3"/>
        <v>0</v>
      </c>
      <c r="F71" s="11">
        <f t="shared" si="7"/>
        <v>0</v>
      </c>
      <c r="G71" s="11">
        <f t="shared" si="12"/>
        <v>0</v>
      </c>
      <c r="H71" s="11">
        <f t="shared" si="14"/>
        <v>0</v>
      </c>
      <c r="I71" s="11">
        <f t="shared" si="16"/>
        <v>0</v>
      </c>
      <c r="J71" s="11">
        <f t="shared" si="20"/>
        <v>0</v>
      </c>
      <c r="K71" s="11">
        <f t="shared" ref="K71:K76" si="22">$B71</f>
        <v>0</v>
      </c>
      <c r="L71" s="8">
        <f>$B71*0.9</f>
        <v>0</v>
      </c>
      <c r="M71" s="11">
        <f t="shared" ref="M71:O71" si="23">$B71</f>
        <v>0</v>
      </c>
      <c r="N71" s="11">
        <f t="shared" si="23"/>
        <v>0</v>
      </c>
      <c r="O71" s="11">
        <f t="shared" si="23"/>
        <v>0</v>
      </c>
      <c r="T71" s="20">
        <f>'System Parameters (Sensor)'!E22</f>
        <v>0</v>
      </c>
      <c r="U71" s="20">
        <f>'System Parameters (Sensor)'!F22</f>
        <v>1</v>
      </c>
      <c r="V71" s="20">
        <f>'System Parameters (Sensor)'!G22</f>
        <v>1</v>
      </c>
      <c r="W71" s="8">
        <f>'System Parameters (Sensor)'!H22</f>
        <v>0</v>
      </c>
    </row>
    <row r="72" spans="1:23" ht="13" x14ac:dyDescent="0.15">
      <c r="A72" s="8">
        <f>'System Parameters (Sensor)'!A23</f>
        <v>0</v>
      </c>
      <c r="B72" s="8">
        <f>'System Parameters (Sensor)'!B23</f>
        <v>0</v>
      </c>
      <c r="C72" s="8">
        <f>'System Parameters (Sensor)'!C23</f>
        <v>0</v>
      </c>
      <c r="D72" s="8">
        <f t="shared" si="1"/>
        <v>0</v>
      </c>
      <c r="E72" s="8">
        <f t="shared" si="3"/>
        <v>0</v>
      </c>
      <c r="F72" s="8">
        <f t="shared" si="7"/>
        <v>0</v>
      </c>
      <c r="G72" s="8">
        <f t="shared" si="12"/>
        <v>0</v>
      </c>
      <c r="H72" s="8">
        <f t="shared" si="14"/>
        <v>0</v>
      </c>
      <c r="I72" s="8">
        <f t="shared" si="16"/>
        <v>0</v>
      </c>
      <c r="J72" s="8">
        <f t="shared" si="20"/>
        <v>0</v>
      </c>
      <c r="K72" s="8">
        <f t="shared" si="22"/>
        <v>0</v>
      </c>
      <c r="L72" s="8">
        <f t="shared" ref="L72:O72" si="24">$B72</f>
        <v>0</v>
      </c>
      <c r="M72" s="8">
        <f t="shared" si="24"/>
        <v>0</v>
      </c>
      <c r="N72" s="8">
        <f t="shared" si="24"/>
        <v>0</v>
      </c>
      <c r="O72" s="8">
        <f t="shared" si="24"/>
        <v>0</v>
      </c>
      <c r="T72" s="8">
        <f>'System Parameters (Sensor)'!E23</f>
        <v>0</v>
      </c>
      <c r="U72" s="8">
        <f>'System Parameters (Sensor)'!F23</f>
        <v>0</v>
      </c>
      <c r="V72" s="8">
        <f>'System Parameters (Sensor)'!G23</f>
        <v>0</v>
      </c>
      <c r="W72" s="8">
        <f>'System Parameters (Sensor)'!H23</f>
        <v>0</v>
      </c>
    </row>
    <row r="73" spans="1:23" ht="13" x14ac:dyDescent="0.15">
      <c r="A73" s="8" t="str">
        <f>'System Parameters (Sensor)'!A24</f>
        <v>Piezo Buzzer</v>
      </c>
      <c r="B73" s="8">
        <f>'System Parameters (Sensor)'!B24</f>
        <v>0</v>
      </c>
      <c r="C73" s="8">
        <f>'System Parameters (Sensor)'!C24</f>
        <v>0</v>
      </c>
      <c r="D73" s="8">
        <f t="shared" si="1"/>
        <v>0</v>
      </c>
      <c r="E73" s="8">
        <f t="shared" si="3"/>
        <v>0</v>
      </c>
      <c r="F73" s="8">
        <f t="shared" si="7"/>
        <v>0</v>
      </c>
      <c r="G73" s="8">
        <f t="shared" si="12"/>
        <v>0</v>
      </c>
      <c r="H73" s="8">
        <f t="shared" si="14"/>
        <v>0</v>
      </c>
      <c r="I73" s="8">
        <f t="shared" si="16"/>
        <v>0</v>
      </c>
      <c r="J73" s="8">
        <f t="shared" si="20"/>
        <v>0</v>
      </c>
      <c r="K73" s="8">
        <f t="shared" si="22"/>
        <v>0</v>
      </c>
      <c r="L73" s="8">
        <f t="shared" ref="L73:O73" si="25">$B73</f>
        <v>0</v>
      </c>
      <c r="M73" s="8">
        <f t="shared" si="25"/>
        <v>0</v>
      </c>
      <c r="N73" s="8">
        <f t="shared" si="25"/>
        <v>0</v>
      </c>
      <c r="O73" s="8">
        <f t="shared" si="25"/>
        <v>0</v>
      </c>
      <c r="T73" s="8">
        <f>'System Parameters (Sensor)'!E24</f>
        <v>0</v>
      </c>
      <c r="U73" s="8">
        <f>'System Parameters (Sensor)'!F24</f>
        <v>0</v>
      </c>
      <c r="V73" s="8">
        <f>'System Parameters (Sensor)'!G24</f>
        <v>0</v>
      </c>
      <c r="W73" s="8">
        <f>'System Parameters (Sensor)'!H24</f>
        <v>0</v>
      </c>
    </row>
    <row r="74" spans="1:23" ht="13" x14ac:dyDescent="0.15">
      <c r="A74" s="8" t="str">
        <f>'System Parameters (Sensor)'!A26</f>
        <v>On</v>
      </c>
      <c r="B74" s="11">
        <f>'System Parameters (Sensor)'!B26</f>
        <v>33</v>
      </c>
      <c r="C74" s="8" t="str">
        <f>'System Parameters (Sensor)'!C26</f>
        <v>mW</v>
      </c>
      <c r="D74" s="11">
        <f t="shared" si="1"/>
        <v>33</v>
      </c>
      <c r="E74" s="11">
        <f t="shared" si="3"/>
        <v>33</v>
      </c>
      <c r="F74" s="11">
        <f t="shared" si="7"/>
        <v>33</v>
      </c>
      <c r="G74" s="11">
        <f t="shared" si="12"/>
        <v>33</v>
      </c>
      <c r="H74" s="11">
        <f t="shared" si="14"/>
        <v>33</v>
      </c>
      <c r="I74" s="11">
        <f t="shared" si="16"/>
        <v>33</v>
      </c>
      <c r="J74" s="11">
        <f t="shared" si="20"/>
        <v>33</v>
      </c>
      <c r="K74" s="11">
        <f t="shared" si="22"/>
        <v>33</v>
      </c>
      <c r="L74" s="11">
        <f t="shared" ref="L74:L76" si="26">$B74</f>
        <v>33</v>
      </c>
      <c r="M74" s="8">
        <f>$B74*0.9</f>
        <v>29.7</v>
      </c>
      <c r="N74" s="11">
        <f t="shared" ref="N74:O74" si="27">$B74</f>
        <v>33</v>
      </c>
      <c r="O74" s="11">
        <f t="shared" si="27"/>
        <v>33</v>
      </c>
      <c r="T74" s="20">
        <f>'System Parameters (Sensor)'!E26</f>
        <v>0</v>
      </c>
      <c r="U74" s="20">
        <f>'System Parameters (Sensor)'!F26</f>
        <v>1</v>
      </c>
      <c r="V74" s="20">
        <f>'System Parameters (Sensor)'!G26</f>
        <v>0</v>
      </c>
      <c r="W74" s="8">
        <f>'System Parameters (Sensor)'!H26</f>
        <v>0</v>
      </c>
    </row>
    <row r="75" spans="1:23" ht="13" x14ac:dyDescent="0.15">
      <c r="A75" s="8" t="str">
        <f>'System Parameters (Sensor)'!A27</f>
        <v>-</v>
      </c>
      <c r="B75" s="11">
        <f>'System Parameters (Sensor)'!B27</f>
        <v>0</v>
      </c>
      <c r="C75" s="8" t="str">
        <f>'System Parameters (Sensor)'!C27</f>
        <v>mW</v>
      </c>
      <c r="D75" s="11">
        <f t="shared" si="1"/>
        <v>0</v>
      </c>
      <c r="E75" s="11">
        <f t="shared" si="3"/>
        <v>0</v>
      </c>
      <c r="F75" s="11">
        <f t="shared" si="7"/>
        <v>0</v>
      </c>
      <c r="G75" s="11">
        <f t="shared" si="12"/>
        <v>0</v>
      </c>
      <c r="H75" s="11">
        <f t="shared" si="14"/>
        <v>0</v>
      </c>
      <c r="I75" s="11">
        <f t="shared" si="16"/>
        <v>0</v>
      </c>
      <c r="J75" s="11">
        <f t="shared" si="20"/>
        <v>0</v>
      </c>
      <c r="K75" s="11">
        <f t="shared" si="22"/>
        <v>0</v>
      </c>
      <c r="L75" s="11">
        <f t="shared" si="26"/>
        <v>0</v>
      </c>
      <c r="M75" s="11">
        <f t="shared" ref="M75:M76" si="28">$B75</f>
        <v>0</v>
      </c>
      <c r="N75" s="8">
        <f>$B75*0.9</f>
        <v>0</v>
      </c>
      <c r="O75" s="11">
        <f>$B75</f>
        <v>0</v>
      </c>
      <c r="T75" s="20">
        <f>'System Parameters (Sensor)'!E27</f>
        <v>0</v>
      </c>
      <c r="U75" s="20">
        <f>'System Parameters (Sensor)'!F27</f>
        <v>0</v>
      </c>
      <c r="V75" s="20">
        <f>'System Parameters (Sensor)'!G27</f>
        <v>0</v>
      </c>
      <c r="W75" s="8">
        <f>'System Parameters (Sensor)'!H27</f>
        <v>0</v>
      </c>
    </row>
    <row r="76" spans="1:23" ht="13" x14ac:dyDescent="0.15">
      <c r="A76" s="8" t="str">
        <f>'System Parameters (Sensor)'!A28</f>
        <v>-</v>
      </c>
      <c r="B76" s="11">
        <f>'System Parameters (Sensor)'!B28</f>
        <v>0</v>
      </c>
      <c r="C76" s="8" t="str">
        <f>'System Parameters (Sensor)'!C28</f>
        <v>mW</v>
      </c>
      <c r="D76" s="11">
        <f t="shared" si="1"/>
        <v>0</v>
      </c>
      <c r="E76" s="11">
        <f t="shared" si="3"/>
        <v>0</v>
      </c>
      <c r="F76" s="11">
        <f t="shared" si="7"/>
        <v>0</v>
      </c>
      <c r="G76" s="11">
        <f t="shared" si="12"/>
        <v>0</v>
      </c>
      <c r="H76" s="11">
        <f t="shared" si="14"/>
        <v>0</v>
      </c>
      <c r="I76" s="11">
        <f t="shared" si="16"/>
        <v>0</v>
      </c>
      <c r="J76" s="11">
        <f t="shared" si="20"/>
        <v>0</v>
      </c>
      <c r="K76" s="11">
        <f t="shared" si="22"/>
        <v>0</v>
      </c>
      <c r="L76" s="11">
        <f t="shared" si="26"/>
        <v>0</v>
      </c>
      <c r="M76" s="11">
        <f t="shared" si="28"/>
        <v>0</v>
      </c>
      <c r="N76" s="11">
        <f>$B76</f>
        <v>0</v>
      </c>
      <c r="O76" s="8">
        <f>$B76*0.9</f>
        <v>0</v>
      </c>
      <c r="T76" s="20">
        <f>'System Parameters (Sensor)'!E28</f>
        <v>0</v>
      </c>
      <c r="U76" s="20">
        <f>'System Parameters (Sensor)'!F28</f>
        <v>0</v>
      </c>
      <c r="V76" s="20">
        <f>'System Parameters (Sensor)'!G28</f>
        <v>0</v>
      </c>
      <c r="W76" s="8">
        <f>'System Parameters (Sensor)'!H28</f>
        <v>0</v>
      </c>
    </row>
    <row r="77" spans="1:23" ht="13" x14ac:dyDescent="0.15">
      <c r="A77" s="8">
        <f>'System Parameters (Sensor)'!A29</f>
        <v>0</v>
      </c>
      <c r="B77" s="8">
        <f>'System Parameters (Sensor)'!B29</f>
        <v>0</v>
      </c>
      <c r="C77" s="8">
        <f>'System Parameters (Sensor)'!C29</f>
        <v>0</v>
      </c>
      <c r="D77" s="8">
        <f>'System Parameters (Sensor)'!D29</f>
        <v>0</v>
      </c>
      <c r="T77" s="8">
        <f>'System Parameters (Sensor)'!E29</f>
        <v>0</v>
      </c>
      <c r="U77" s="8">
        <f>'System Parameters (Sensor)'!F29</f>
        <v>0</v>
      </c>
      <c r="V77" s="8">
        <f>'System Parameters (Sensor)'!G29</f>
        <v>0</v>
      </c>
      <c r="W77" s="8">
        <f>'System Parameters (Sensor)'!H29</f>
        <v>0</v>
      </c>
    </row>
    <row r="78" spans="1:23" ht="13" x14ac:dyDescent="0.15">
      <c r="A78" s="8">
        <f>'System Parameters (Sensor)'!A30</f>
        <v>0</v>
      </c>
      <c r="B78" s="8">
        <f>'System Parameters (Sensor)'!B30</f>
        <v>0</v>
      </c>
      <c r="C78" s="8">
        <f>'System Parameters (Sensor)'!C30</f>
        <v>0</v>
      </c>
      <c r="D78" s="8">
        <f>'System Parameters (Sensor)'!D30</f>
        <v>0</v>
      </c>
      <c r="T78" s="8">
        <f>'System Parameters (Sensor)'!E30</f>
        <v>23</v>
      </c>
      <c r="U78" s="8">
        <f>'System Parameters (Sensor)'!F30</f>
        <v>1</v>
      </c>
      <c r="V78" s="8">
        <f>'System Parameters (Sensor)'!G30</f>
        <v>0</v>
      </c>
      <c r="W78" s="8" t="str">
        <f>'System Parameters (Sensor)'!H30</f>
        <v>hours/day typical usage</v>
      </c>
    </row>
    <row r="79" spans="1:23" ht="13" x14ac:dyDescent="0.15">
      <c r="A79" s="8" t="str">
        <f>'System Parameters (Sensor)'!A31</f>
        <v>Battery</v>
      </c>
      <c r="B79" s="8">
        <f>'System Parameters (Sensor)'!B31</f>
        <v>0</v>
      </c>
      <c r="C79" s="8">
        <f>'System Parameters (Sensor)'!C31</f>
        <v>0</v>
      </c>
      <c r="D79" s="8">
        <f>'System Parameters (Sensor)'!D31</f>
        <v>0</v>
      </c>
      <c r="T79" s="8">
        <f>'System Parameters (Sensor)'!E31</f>
        <v>0</v>
      </c>
      <c r="U79" s="8">
        <f>'System Parameters (Sensor)'!F31</f>
        <v>0</v>
      </c>
      <c r="V79" s="8">
        <f>'System Parameters (Sensor)'!G31</f>
        <v>0</v>
      </c>
      <c r="W79" s="8">
        <f>'System Parameters (Sensor)'!H31</f>
        <v>0</v>
      </c>
    </row>
    <row r="80" spans="1:23" ht="13" x14ac:dyDescent="0.15">
      <c r="A80" s="8" t="str">
        <f>'System Parameters (Sensor)'!A32</f>
        <v>Capacity</v>
      </c>
      <c r="B80" s="11">
        <f>'System Parameters (Sensor)'!B32</f>
        <v>500</v>
      </c>
      <c r="C80" s="8" t="str">
        <f>'System Parameters (Sensor)'!C32</f>
        <v>mAh</v>
      </c>
      <c r="D80" s="8">
        <f>'System Parameters (Sensor)'!D32</f>
        <v>0</v>
      </c>
      <c r="T80" s="8">
        <f>'System Parameters (Sensor)'!E32</f>
        <v>0</v>
      </c>
      <c r="U80" s="8">
        <f>'System Parameters (Sensor)'!F32</f>
        <v>0</v>
      </c>
      <c r="V80" s="8">
        <f>'System Parameters (Sensor)'!G32</f>
        <v>0</v>
      </c>
      <c r="W80" s="8">
        <f>'System Parameters (Sensor)'!H32</f>
        <v>0</v>
      </c>
    </row>
    <row r="81" spans="1:23" ht="13" x14ac:dyDescent="0.15">
      <c r="A81" s="8" t="str">
        <f>'System Parameters (Sensor)'!A33</f>
        <v>Nominal Voltage</v>
      </c>
      <c r="B81" s="11">
        <f>'System Parameters (Sensor)'!B33</f>
        <v>3.7</v>
      </c>
      <c r="C81" s="8" t="str">
        <f>'System Parameters (Sensor)'!C33</f>
        <v>V</v>
      </c>
      <c r="D81" s="8">
        <f>'System Parameters (Sensor)'!D33</f>
        <v>0</v>
      </c>
      <c r="T81" s="8">
        <f>'System Parameters (Sensor)'!E33</f>
        <v>0</v>
      </c>
      <c r="U81" s="8">
        <f>'System Parameters (Sensor)'!F33</f>
        <v>0</v>
      </c>
      <c r="V81" s="8">
        <f>'System Parameters (Sensor)'!G33</f>
        <v>0</v>
      </c>
      <c r="W81" s="8">
        <f>'System Parameters (Sensor)'!H33</f>
        <v>0</v>
      </c>
    </row>
    <row r="82" spans="1:23" ht="13" x14ac:dyDescent="0.15">
      <c r="A82" s="8" t="str">
        <f>'System Parameters (Sensor)'!A34</f>
        <v>Regulator Efficiency</v>
      </c>
      <c r="B82" s="20">
        <f>'System Parameters (Sensor)'!B34</f>
        <v>0.95</v>
      </c>
      <c r="C82" s="8">
        <f>'System Parameters (Sensor)'!C34</f>
        <v>0</v>
      </c>
      <c r="D82" s="8">
        <f>'System Parameters (Sensor)'!D34</f>
        <v>0</v>
      </c>
      <c r="T82" s="8">
        <f>'System Parameters (Sensor)'!E34</f>
        <v>0</v>
      </c>
      <c r="U82" s="8">
        <f>'System Parameters (Sensor)'!F34</f>
        <v>0</v>
      </c>
      <c r="V82" s="8">
        <f>'System Parameters (Sensor)'!G34</f>
        <v>0</v>
      </c>
      <c r="W82" s="8">
        <f>'System Parameters (Sensor)'!H34</f>
        <v>0</v>
      </c>
    </row>
    <row r="83" spans="1:23" ht="13" x14ac:dyDescent="0.15">
      <c r="A83" s="8">
        <f>'System Parameters (Sensor)'!A35</f>
        <v>0</v>
      </c>
      <c r="B83" s="8">
        <f>'System Parameters (Sensor)'!B35</f>
        <v>0</v>
      </c>
      <c r="C83" s="8">
        <f>'System Parameters (Sensor)'!C35</f>
        <v>0</v>
      </c>
      <c r="D83" s="8">
        <f>'System Parameters (Sensor)'!D35</f>
        <v>0</v>
      </c>
      <c r="O83" s="8">
        <f>'System Parameters (Sensor)'!E35</f>
        <v>0</v>
      </c>
      <c r="P83" s="8">
        <f>'System Parameters (Sensor)'!F35</f>
        <v>0</v>
      </c>
      <c r="Q83" s="8">
        <f>'System Parameters (Sensor)'!G35</f>
        <v>0</v>
      </c>
      <c r="R83" s="8">
        <f>'System Parameters (Sensor)'!H35</f>
        <v>0</v>
      </c>
      <c r="S83" s="8">
        <f>'System Parameters (Sensor)'!I35</f>
        <v>0</v>
      </c>
      <c r="T83" s="8">
        <f>'System Parameters (Sensor)'!J35</f>
        <v>0</v>
      </c>
      <c r="U83" s="8" t="e">
        <f t="shared" ref="U83:V83" si="29">#REF!</f>
        <v>#REF!</v>
      </c>
      <c r="V83" s="8" t="e">
        <f t="shared" si="29"/>
        <v>#REF!</v>
      </c>
    </row>
    <row r="84" spans="1:23" ht="13" x14ac:dyDescent="0.15">
      <c r="A84" s="8">
        <f>'System Parameters (Sensor)'!A36</f>
        <v>0</v>
      </c>
      <c r="B84" s="8">
        <f>'System Parameters (Sensor)'!B36</f>
        <v>0</v>
      </c>
      <c r="C84" s="8">
        <f>'System Parameters (Sensor)'!C36</f>
        <v>0</v>
      </c>
      <c r="D84" s="8">
        <f>'System Parameters (Sensor)'!D36</f>
        <v>0</v>
      </c>
      <c r="O84" s="8">
        <f>'System Parameters (Sensor)'!E36</f>
        <v>0</v>
      </c>
      <c r="P84" s="8">
        <f>'System Parameters (Sensor)'!F36</f>
        <v>0</v>
      </c>
      <c r="Q84" s="8">
        <f>'System Parameters (Sensor)'!G36</f>
        <v>0</v>
      </c>
      <c r="R84" s="8">
        <f>'System Parameters (Sensor)'!H36</f>
        <v>0</v>
      </c>
      <c r="S84" s="8">
        <f>'System Parameters (Sensor)'!I36</f>
        <v>0</v>
      </c>
      <c r="T84" s="8">
        <f>'System Parameters (Sensor)'!J36</f>
        <v>0</v>
      </c>
      <c r="U84" s="8" t="e">
        <f t="shared" ref="U84:V84" si="30">#REF!</f>
        <v>#REF!</v>
      </c>
      <c r="V84" s="8" t="e">
        <f t="shared" si="30"/>
        <v>#REF!</v>
      </c>
    </row>
    <row r="85" spans="1:23" ht="13" x14ac:dyDescent="0.15">
      <c r="A85" s="8">
        <f>'System Parameters (Sensor)'!A37</f>
        <v>0</v>
      </c>
      <c r="B85" s="8">
        <f>'System Parameters (Sensor)'!K24</f>
        <v>0</v>
      </c>
      <c r="C85" s="8">
        <f>'System Parameters (Sensor)'!L24</f>
        <v>0</v>
      </c>
      <c r="D85" s="8">
        <f>'System Parameters (Sensor)'!M24</f>
        <v>0</v>
      </c>
      <c r="O85" s="8">
        <f>'System Parameters (Sensor)'!N24</f>
        <v>0</v>
      </c>
      <c r="P85" s="8">
        <f>'System Parameters (Sensor)'!O24</f>
        <v>0</v>
      </c>
      <c r="Q85" s="8">
        <f>'System Parameters (Sensor)'!P24</f>
        <v>0</v>
      </c>
      <c r="R85" s="8">
        <f>'System Parameters (Sensor)'!Q24</f>
        <v>0</v>
      </c>
      <c r="S85" s="8">
        <f>'System Parameters (Sensor)'!I37</f>
        <v>0</v>
      </c>
      <c r="T85" s="8">
        <f>'System Parameters (Sensor)'!J37</f>
        <v>0</v>
      </c>
      <c r="U85" s="8" t="e">
        <f t="shared" ref="U85:V85" si="31">#REF!</f>
        <v>#REF!</v>
      </c>
      <c r="V85" s="8" t="e">
        <f t="shared" si="31"/>
        <v>#REF!</v>
      </c>
    </row>
    <row r="86" spans="1:23" ht="13" x14ac:dyDescent="0.15">
      <c r="A86" s="8" t="str">
        <f>'System Parameters (Sensor)'!A38</f>
        <v xml:space="preserve">REFLECTIONS : WHAT DID YOU LEARN FROM ANALYZING YOUR POWER.  TALK ABOUT SOME POTENTIAL TRADEOFFS. </v>
      </c>
      <c r="B86" s="8">
        <f>'System Parameters (Sensor)'!K25</f>
        <v>0</v>
      </c>
      <c r="C86" s="8" t="e">
        <f t="shared" ref="C86:D86" si="32">#REF!</f>
        <v>#REF!</v>
      </c>
      <c r="D86" s="8" t="e">
        <f t="shared" si="32"/>
        <v>#REF!</v>
      </c>
      <c r="O86" s="8" t="e">
        <f t="shared" ref="O86:Q86" si="33">#REF!</f>
        <v>#REF!</v>
      </c>
      <c r="P86" s="8" t="e">
        <f t="shared" si="33"/>
        <v>#REF!</v>
      </c>
      <c r="Q86" s="8" t="e">
        <f t="shared" si="33"/>
        <v>#REF!</v>
      </c>
      <c r="R86" s="8">
        <f>'System Parameters (Sensor)'!Q25</f>
        <v>0</v>
      </c>
      <c r="S86" s="8">
        <f>'System Parameters (Sensor)'!I38</f>
        <v>0</v>
      </c>
      <c r="T86" s="8">
        <f>'System Parameters (Sensor)'!J38</f>
        <v>0</v>
      </c>
      <c r="U86" s="8" t="e">
        <f t="shared" ref="U86:V86" si="34">#REF!</f>
        <v>#REF!</v>
      </c>
      <c r="V86" s="8" t="e">
        <f t="shared" si="34"/>
        <v>#REF!</v>
      </c>
    </row>
    <row r="87" spans="1:23" ht="13" x14ac:dyDescent="0.15">
      <c r="A87" s="8" t="str">
        <f>'System Parameters (Sensor)'!L25</f>
        <v>Total power in profile (mw)</v>
      </c>
      <c r="B87" s="8">
        <f>'System Parameters (Sensor)'!M25</f>
        <v>0</v>
      </c>
      <c r="C87" s="8">
        <f>'System Parameters (Sensor)'!N25</f>
        <v>0</v>
      </c>
      <c r="R87" s="8">
        <f>'System Parameters (Sensor)'!Q26</f>
        <v>0</v>
      </c>
      <c r="S87" s="8">
        <f>'System Parameters (Sensor)'!I39</f>
        <v>0</v>
      </c>
      <c r="T87" s="8">
        <f>'System Parameters (Sensor)'!J39</f>
        <v>0</v>
      </c>
      <c r="U87" s="8">
        <f>'System Parameters (Sensor)'!K39</f>
        <v>0</v>
      </c>
      <c r="V87" s="8">
        <f>'System Parameters (Sensor)'!L39</f>
        <v>0</v>
      </c>
    </row>
    <row r="88" spans="1:23" ht="13" x14ac:dyDescent="0.15">
      <c r="A88" s="8" t="str">
        <f>'System Parameters (Sensor)'!L26</f>
        <v>"Time keeping"</v>
      </c>
      <c r="B88" s="8">
        <f>SUMPRODUCT(B56:B76, $T56:$T76)</f>
        <v>100.66225</v>
      </c>
      <c r="C88" s="8" t="str">
        <f>'System Parameters (Sensor)'!N26</f>
        <v>mW</v>
      </c>
      <c r="D88" s="8">
        <f t="shared" ref="D88:O88" si="35">SUMPRODUCT(D56:D76, $T56:$T76)</f>
        <v>100.21674999999999</v>
      </c>
      <c r="E88" s="8">
        <f t="shared" si="35"/>
        <v>97.692250000000001</v>
      </c>
      <c r="F88" s="8">
        <f t="shared" si="35"/>
        <v>100.66152500000001</v>
      </c>
      <c r="G88" s="8">
        <f t="shared" si="35"/>
        <v>100.66225</v>
      </c>
      <c r="H88" s="8">
        <f t="shared" si="35"/>
        <v>100.66225</v>
      </c>
      <c r="I88" s="8">
        <f t="shared" si="35"/>
        <v>95.66225</v>
      </c>
      <c r="J88" s="8">
        <f t="shared" si="35"/>
        <v>100.66225</v>
      </c>
      <c r="K88" s="8">
        <f t="shared" si="35"/>
        <v>99.012249999999995</v>
      </c>
      <c r="L88" s="8">
        <f t="shared" si="35"/>
        <v>100.66225</v>
      </c>
      <c r="M88" s="8">
        <f t="shared" si="35"/>
        <v>100.66225</v>
      </c>
      <c r="N88" s="8">
        <f t="shared" si="35"/>
        <v>100.66225</v>
      </c>
      <c r="O88" s="8">
        <f t="shared" si="35"/>
        <v>100.66225</v>
      </c>
      <c r="R88" s="8">
        <f>'System Parameters (Sensor)'!Q27</f>
        <v>0</v>
      </c>
      <c r="S88" s="8">
        <f>'System Parameters (Sensor)'!I40</f>
        <v>0</v>
      </c>
      <c r="T88" s="8">
        <f>'System Parameters (Sensor)'!J40</f>
        <v>0</v>
      </c>
      <c r="U88" s="8">
        <f>'System Parameters (Sensor)'!K40</f>
        <v>0</v>
      </c>
      <c r="V88" s="8">
        <f>'System Parameters (Sensor)'!L40</f>
        <v>0</v>
      </c>
    </row>
    <row r="89" spans="1:23" ht="13" x14ac:dyDescent="0.15">
      <c r="A89" s="8" t="str">
        <f>'System Parameters (Sensor)'!L27</f>
        <v>"alarmimg"</v>
      </c>
      <c r="B89" s="8">
        <f>SUMPRODUCT(B56:B76,$U56:$U76)</f>
        <v>132.5</v>
      </c>
      <c r="C89" s="8" t="str">
        <f>'System Parameters (Sensor)'!N27</f>
        <v>mW</v>
      </c>
      <c r="D89" s="8">
        <f t="shared" ref="D89:O89" si="36">SUMPRODUCT(D56:D76,$U56:$U76)</f>
        <v>132.5</v>
      </c>
      <c r="E89" s="8">
        <f t="shared" si="36"/>
        <v>129.19999999999999</v>
      </c>
      <c r="F89" s="8">
        <f t="shared" si="36"/>
        <v>132.5</v>
      </c>
      <c r="G89" s="8">
        <f t="shared" si="36"/>
        <v>130.85</v>
      </c>
      <c r="H89" s="8">
        <f t="shared" si="36"/>
        <v>132.5</v>
      </c>
      <c r="I89" s="8">
        <f t="shared" si="36"/>
        <v>127.5</v>
      </c>
      <c r="J89" s="8">
        <f t="shared" si="36"/>
        <v>132.5</v>
      </c>
      <c r="K89" s="8">
        <f t="shared" si="36"/>
        <v>132.5</v>
      </c>
      <c r="L89" s="8">
        <f t="shared" si="36"/>
        <v>132.5</v>
      </c>
      <c r="M89" s="8">
        <f t="shared" si="36"/>
        <v>129.19999999999999</v>
      </c>
      <c r="N89" s="8">
        <f t="shared" si="36"/>
        <v>132.5</v>
      </c>
      <c r="O89" s="8">
        <f t="shared" si="36"/>
        <v>132.5</v>
      </c>
      <c r="R89" s="8">
        <f>'System Parameters (Sensor)'!Q28</f>
        <v>0</v>
      </c>
      <c r="S89" s="8">
        <f>'System Parameters (Sensor)'!I41</f>
        <v>0</v>
      </c>
      <c r="T89" s="8">
        <f>'System Parameters (Sensor)'!J41</f>
        <v>0</v>
      </c>
      <c r="U89" s="8">
        <f>'System Parameters (Sensor)'!K41</f>
        <v>0</v>
      </c>
      <c r="V89" s="8">
        <f>'System Parameters (Sensor)'!L41</f>
        <v>0</v>
      </c>
    </row>
    <row r="90" spans="1:23" ht="13" x14ac:dyDescent="0.15">
      <c r="A90" s="8" t="str">
        <f>'System Parameters (Sensor)'!L28</f>
        <v>"Setting"</v>
      </c>
      <c r="B90" s="8">
        <f>SUMPRODUCT(B56:B76, $V56:$V76)</f>
        <v>134.18450000000001</v>
      </c>
      <c r="C90" s="8" t="str">
        <f>'System Parameters (Sensor)'!N28</f>
        <v>mW</v>
      </c>
      <c r="D90" s="8">
        <f t="shared" ref="D90:O90" si="37">SUMPRODUCT(D56:D76, $V56:$V76)</f>
        <v>132.4025</v>
      </c>
      <c r="E90" s="8">
        <f t="shared" si="37"/>
        <v>131.87450000000001</v>
      </c>
      <c r="F90" s="8">
        <f t="shared" si="37"/>
        <v>134.18305000000001</v>
      </c>
      <c r="G90" s="8">
        <f t="shared" si="37"/>
        <v>133.3595</v>
      </c>
      <c r="H90" s="8">
        <f t="shared" si="37"/>
        <v>130.43450000000001</v>
      </c>
      <c r="I90" s="8">
        <f t="shared" si="37"/>
        <v>129.43450000000001</v>
      </c>
      <c r="J90" s="8">
        <f t="shared" si="37"/>
        <v>134.18450000000001</v>
      </c>
      <c r="K90" s="8">
        <f t="shared" si="37"/>
        <v>134.18450000000001</v>
      </c>
      <c r="L90" s="8">
        <f t="shared" si="37"/>
        <v>134.18450000000001</v>
      </c>
      <c r="M90" s="8">
        <f t="shared" si="37"/>
        <v>134.18450000000001</v>
      </c>
      <c r="N90" s="8">
        <f t="shared" si="37"/>
        <v>134.18450000000001</v>
      </c>
      <c r="O90" s="8">
        <f t="shared" si="37"/>
        <v>134.18450000000001</v>
      </c>
      <c r="R90" s="8">
        <f>'System Parameters (Sensor)'!Q29</f>
        <v>0</v>
      </c>
      <c r="S90" s="8">
        <f>'System Parameters (Sensor)'!I42</f>
        <v>0</v>
      </c>
      <c r="T90" s="8">
        <f>'System Parameters (Sensor)'!J42</f>
        <v>0</v>
      </c>
      <c r="U90" s="8">
        <f>'System Parameters (Sensor)'!K42</f>
        <v>0</v>
      </c>
      <c r="V90" s="8">
        <f>'System Parameters (Sensor)'!L42</f>
        <v>0</v>
      </c>
    </row>
    <row r="91" spans="1:23" ht="13" x14ac:dyDescent="0.15">
      <c r="A91" s="8">
        <f>'System Parameters (Sensor)'!L29</f>
        <v>0</v>
      </c>
      <c r="B91" s="8">
        <f>'System Parameters (Sensor)'!M29</f>
        <v>0</v>
      </c>
      <c r="C91" s="8">
        <f>'System Parameters (Sensor)'!N29</f>
        <v>0</v>
      </c>
      <c r="D91" s="8">
        <f>'System Parameters (Sensor)'!O29</f>
        <v>0</v>
      </c>
      <c r="E91" s="8">
        <f>'System Parameters (Sensor)'!P29</f>
        <v>0</v>
      </c>
      <c r="F91" s="8">
        <f>'System Parameters (Sensor)'!Q30</f>
        <v>0</v>
      </c>
      <c r="G91" s="8">
        <f>'System Parameters (Sensor)'!I43</f>
        <v>0</v>
      </c>
      <c r="H91" s="8">
        <f>'System Parameters (Sensor)'!J43</f>
        <v>0</v>
      </c>
      <c r="I91" s="8">
        <f>'System Parameters (Sensor)'!K43</f>
        <v>0</v>
      </c>
      <c r="J91" s="8">
        <f>'System Parameters (Sensor)'!L43</f>
        <v>0</v>
      </c>
      <c r="K91" s="8">
        <f>'System Parameters (Sensor)'!M43</f>
        <v>0</v>
      </c>
      <c r="L91" s="8">
        <f>'System Parameters (Sensor)'!N43</f>
        <v>0</v>
      </c>
      <c r="M91" s="8">
        <f>'System Parameters (Sensor)'!O43</f>
        <v>0</v>
      </c>
      <c r="N91" s="8">
        <f>'System Parameters (Sensor)'!P43</f>
        <v>0</v>
      </c>
      <c r="O91" s="8">
        <f>'System Parameters (Sensor)'!Q43</f>
        <v>0</v>
      </c>
      <c r="R91" s="8">
        <f>'System Parameters (Sensor)'!Q30</f>
        <v>0</v>
      </c>
      <c r="S91" s="8">
        <f>'System Parameters (Sensor)'!I43</f>
        <v>0</v>
      </c>
      <c r="T91" s="8">
        <f>'System Parameters (Sensor)'!J43</f>
        <v>0</v>
      </c>
      <c r="U91" s="8">
        <f>'System Parameters (Sensor)'!K43</f>
        <v>0</v>
      </c>
      <c r="V91" s="8">
        <f>'System Parameters (Sensor)'!L43</f>
        <v>0</v>
      </c>
    </row>
    <row r="92" spans="1:23" ht="13" x14ac:dyDescent="0.15">
      <c r="A92" s="8" t="str">
        <f>'System Parameters (Sensor)'!L30</f>
        <v>Effective Battery Capacity</v>
      </c>
      <c r="B92" s="8">
        <f>'System Parameters (Sensor)'!M30</f>
        <v>0</v>
      </c>
      <c r="C92" s="8">
        <f>'System Parameters (Sensor)'!N30</f>
        <v>0</v>
      </c>
      <c r="D92" s="8">
        <f>'System Parameters (Sensor)'!O30</f>
        <v>0</v>
      </c>
      <c r="E92" s="8">
        <f>'System Parameters (Sensor)'!P30</f>
        <v>0</v>
      </c>
      <c r="F92" s="8">
        <f>'System Parameters (Sensor)'!Q31</f>
        <v>0</v>
      </c>
      <c r="G92" s="8">
        <f>'System Parameters (Sensor)'!I44</f>
        <v>0</v>
      </c>
      <c r="H92" s="8">
        <f>'System Parameters (Sensor)'!J44</f>
        <v>0</v>
      </c>
      <c r="I92" s="8">
        <f>'System Parameters (Sensor)'!K44</f>
        <v>0</v>
      </c>
      <c r="J92" s="8">
        <f>'System Parameters (Sensor)'!L44</f>
        <v>0</v>
      </c>
      <c r="K92" s="8">
        <f>'System Parameters (Sensor)'!M44</f>
        <v>0</v>
      </c>
      <c r="L92" s="8">
        <f>'System Parameters (Sensor)'!N44</f>
        <v>0</v>
      </c>
      <c r="M92" s="8">
        <f>'System Parameters (Sensor)'!O44</f>
        <v>0</v>
      </c>
      <c r="N92" s="8">
        <f>'System Parameters (Sensor)'!P44</f>
        <v>0</v>
      </c>
      <c r="O92" s="8">
        <f>'System Parameters (Sensor)'!Q44</f>
        <v>0</v>
      </c>
      <c r="P92" s="8">
        <f>'System Parameters (Sensor)'!O30</f>
        <v>0</v>
      </c>
      <c r="Q92" s="8">
        <f>'System Parameters (Sensor)'!P30</f>
        <v>0</v>
      </c>
      <c r="R92" s="8">
        <f>'System Parameters (Sensor)'!Q31</f>
        <v>0</v>
      </c>
      <c r="S92" s="8">
        <f>'System Parameters (Sensor)'!I44</f>
        <v>0</v>
      </c>
      <c r="T92" s="8">
        <f>'System Parameters (Sensor)'!J44</f>
        <v>0</v>
      </c>
      <c r="U92" s="8">
        <f>'System Parameters (Sensor)'!K44</f>
        <v>0</v>
      </c>
      <c r="V92" s="8">
        <f>'System Parameters (Sensor)'!L44</f>
        <v>0</v>
      </c>
    </row>
    <row r="93" spans="1:23" ht="13" x14ac:dyDescent="0.15">
      <c r="A93" s="8">
        <f>'System Parameters (Sensor)'!L31</f>
        <v>0</v>
      </c>
      <c r="B93" s="8">
        <f>B80*B81*B82</f>
        <v>1757.5</v>
      </c>
      <c r="C93" s="8" t="str">
        <f>'System Parameters (Sensor)'!N31</f>
        <v>mW*h</v>
      </c>
      <c r="D93" s="8">
        <f t="shared" ref="D93:O93" si="38">$B93</f>
        <v>1757.5</v>
      </c>
      <c r="E93" s="8">
        <f t="shared" si="38"/>
        <v>1757.5</v>
      </c>
      <c r="F93" s="8">
        <f t="shared" si="38"/>
        <v>1757.5</v>
      </c>
      <c r="G93" s="8">
        <f t="shared" si="38"/>
        <v>1757.5</v>
      </c>
      <c r="H93" s="8">
        <f t="shared" si="38"/>
        <v>1757.5</v>
      </c>
      <c r="I93" s="8">
        <f t="shared" si="38"/>
        <v>1757.5</v>
      </c>
      <c r="J93" s="8">
        <f t="shared" si="38"/>
        <v>1757.5</v>
      </c>
      <c r="K93" s="8">
        <f t="shared" si="38"/>
        <v>1757.5</v>
      </c>
      <c r="L93" s="8">
        <f t="shared" si="38"/>
        <v>1757.5</v>
      </c>
      <c r="M93" s="8">
        <f t="shared" si="38"/>
        <v>1757.5</v>
      </c>
      <c r="N93" s="8">
        <f t="shared" si="38"/>
        <v>1757.5</v>
      </c>
      <c r="O93" s="8">
        <f t="shared" si="38"/>
        <v>1757.5</v>
      </c>
      <c r="P93" s="8">
        <f>'System Parameters (Sensor)'!O31</f>
        <v>0</v>
      </c>
      <c r="Q93" s="8">
        <f>'System Parameters (Sensor)'!P31</f>
        <v>0</v>
      </c>
      <c r="R93" s="8">
        <f>'System Parameters (Sensor)'!Q32</f>
        <v>0</v>
      </c>
      <c r="S93" s="8">
        <f>'System Parameters (Sensor)'!I45</f>
        <v>0</v>
      </c>
      <c r="T93" s="8">
        <f>'System Parameters (Sensor)'!J45</f>
        <v>0</v>
      </c>
      <c r="U93" s="8">
        <f>'System Parameters (Sensor)'!K45</f>
        <v>0</v>
      </c>
      <c r="V93" s="8">
        <f>'System Parameters (Sensor)'!L45</f>
        <v>0</v>
      </c>
    </row>
    <row r="94" spans="1:23" ht="13" x14ac:dyDescent="0.15">
      <c r="A94" s="8">
        <f>'System Parameters (Sensor)'!L32</f>
        <v>0</v>
      </c>
      <c r="B94" s="8">
        <f>'System Parameters (Sensor)'!M32</f>
        <v>0</v>
      </c>
      <c r="C94" s="8">
        <f>'System Parameters (Sensor)'!N32</f>
        <v>0</v>
      </c>
      <c r="D94" s="8">
        <f>'System Parameters (Sensor)'!O32</f>
        <v>0</v>
      </c>
      <c r="E94" s="8">
        <f>'System Parameters (Sensor)'!P32</f>
        <v>0</v>
      </c>
      <c r="F94" s="8">
        <f>'System Parameters (Sensor)'!Q33</f>
        <v>0</v>
      </c>
      <c r="G94" s="8">
        <f>'System Parameters (Sensor)'!I46</f>
        <v>0</v>
      </c>
      <c r="H94" s="8">
        <f>'System Parameters (Sensor)'!J46</f>
        <v>0</v>
      </c>
      <c r="I94" s="8">
        <f>'System Parameters (Sensor)'!K46</f>
        <v>0</v>
      </c>
      <c r="J94" s="8">
        <f>'System Parameters (Sensor)'!L46</f>
        <v>0</v>
      </c>
      <c r="K94" s="8">
        <f>'System Parameters (Sensor)'!M46</f>
        <v>0</v>
      </c>
      <c r="L94" s="8">
        <f>'System Parameters (Sensor)'!N46</f>
        <v>0</v>
      </c>
      <c r="M94" s="8">
        <f>'System Parameters (Sensor)'!O46</f>
        <v>0</v>
      </c>
      <c r="N94" s="8">
        <f>'System Parameters (Sensor)'!P46</f>
        <v>0</v>
      </c>
      <c r="O94" s="8">
        <f>'System Parameters (Sensor)'!Q46</f>
        <v>0</v>
      </c>
      <c r="P94" s="8">
        <f>'System Parameters (Sensor)'!O32</f>
        <v>0</v>
      </c>
      <c r="Q94" s="8">
        <f>'System Parameters (Sensor)'!P32</f>
        <v>0</v>
      </c>
      <c r="R94" s="8">
        <f>'System Parameters (Sensor)'!Q33</f>
        <v>0</v>
      </c>
      <c r="S94" s="8">
        <f>'System Parameters (Sensor)'!I46</f>
        <v>0</v>
      </c>
      <c r="T94" s="8">
        <f>'System Parameters (Sensor)'!J46</f>
        <v>0</v>
      </c>
      <c r="U94" s="8">
        <f>'System Parameters (Sensor)'!K46</f>
        <v>0</v>
      </c>
      <c r="V94" s="8">
        <f>'System Parameters (Sensor)'!L46</f>
        <v>0</v>
      </c>
    </row>
    <row r="95" spans="1:23" ht="13" x14ac:dyDescent="0.15">
      <c r="A95" s="8" t="str">
        <f>'System Parameters (Sensor)'!L33</f>
        <v>Days of Use</v>
      </c>
      <c r="B95" s="8">
        <f>B93/($T78*B88+$U78*B89+$V78*B90)</f>
        <v>0.71801168571678664</v>
      </c>
      <c r="C95" s="8" t="str">
        <f>'System Parameters (Sensor)'!N33</f>
        <v>days</v>
      </c>
      <c r="D95" s="8">
        <f t="shared" ref="D95:O95" si="39">D93/($T78*D88+$U78*D89+$V78*D90)</f>
        <v>0.72103000418156382</v>
      </c>
      <c r="E95" s="8">
        <f t="shared" si="39"/>
        <v>0.73965065131868779</v>
      </c>
      <c r="F95" s="8">
        <f t="shared" si="39"/>
        <v>0.71801657715410361</v>
      </c>
      <c r="G95" s="8">
        <f t="shared" si="39"/>
        <v>0.71849601919477957</v>
      </c>
      <c r="H95" s="8">
        <f t="shared" si="39"/>
        <v>0.71801168571678664</v>
      </c>
      <c r="I95" s="8">
        <f t="shared" si="39"/>
        <v>0.75502686252400009</v>
      </c>
      <c r="J95" s="8">
        <f t="shared" si="39"/>
        <v>0.71801168571678664</v>
      </c>
      <c r="K95" s="8">
        <f t="shared" si="39"/>
        <v>0.72931915929730973</v>
      </c>
      <c r="L95" s="8">
        <f t="shared" si="39"/>
        <v>0.71801168571678664</v>
      </c>
      <c r="M95" s="8">
        <f t="shared" si="39"/>
        <v>0.71898100652636354</v>
      </c>
      <c r="N95" s="8">
        <f t="shared" si="39"/>
        <v>0.71801168571678664</v>
      </c>
      <c r="O95" s="8">
        <f t="shared" si="39"/>
        <v>0.71801168571678664</v>
      </c>
      <c r="P95" s="8">
        <f>'System Parameters (Sensor)'!O33</f>
        <v>0</v>
      </c>
      <c r="Q95" s="8">
        <f>'System Parameters (Sensor)'!P33</f>
        <v>0</v>
      </c>
      <c r="R95" s="8">
        <f>'System Parameters (Sensor)'!Q34</f>
        <v>0</v>
      </c>
      <c r="S95" s="8">
        <f>'System Parameters (Sensor)'!I47</f>
        <v>0</v>
      </c>
      <c r="T95" s="8">
        <f>'System Parameters (Sensor)'!J47</f>
        <v>0</v>
      </c>
      <c r="U95" s="8">
        <f>'System Parameters (Sensor)'!K47</f>
        <v>0</v>
      </c>
      <c r="V95" s="8">
        <f>'System Parameters (Sensor)'!L47</f>
        <v>0</v>
      </c>
    </row>
    <row r="96" spans="1:23" ht="13" x14ac:dyDescent="0.15">
      <c r="A96" s="8" t="str">
        <f>'System Parameters (Sensor)'!L34</f>
        <v>Hours of Use</v>
      </c>
      <c r="B96" s="8">
        <f>B95*24</f>
        <v>17.232280457202879</v>
      </c>
      <c r="C96" s="8" t="str">
        <f>'System Parameters (Sensor)'!N34</f>
        <v>hours</v>
      </c>
      <c r="D96" s="8">
        <f t="shared" ref="D96:O96" si="40">D95*24</f>
        <v>17.304720100357532</v>
      </c>
      <c r="E96" s="8">
        <f t="shared" si="40"/>
        <v>17.751615631648505</v>
      </c>
      <c r="F96" s="8">
        <f t="shared" si="40"/>
        <v>17.232397851698487</v>
      </c>
      <c r="G96" s="8">
        <f t="shared" si="40"/>
        <v>17.24390446067471</v>
      </c>
      <c r="H96" s="8">
        <f t="shared" si="40"/>
        <v>17.232280457202879</v>
      </c>
      <c r="I96" s="8">
        <f t="shared" si="40"/>
        <v>18.120644700576001</v>
      </c>
      <c r="J96" s="8">
        <f t="shared" si="40"/>
        <v>17.232280457202879</v>
      </c>
      <c r="K96" s="8">
        <f t="shared" si="40"/>
        <v>17.503659823135433</v>
      </c>
      <c r="L96" s="8">
        <f t="shared" si="40"/>
        <v>17.232280457202879</v>
      </c>
      <c r="M96" s="8">
        <f t="shared" si="40"/>
        <v>17.255544156632723</v>
      </c>
      <c r="N96" s="8">
        <f t="shared" si="40"/>
        <v>17.232280457202879</v>
      </c>
      <c r="O96" s="8">
        <f t="shared" si="40"/>
        <v>17.232280457202879</v>
      </c>
      <c r="P96" s="8">
        <f>'System Parameters (Sensor)'!O34</f>
        <v>0</v>
      </c>
      <c r="Q96" s="8">
        <f>'System Parameters (Sensor)'!P34</f>
        <v>0</v>
      </c>
      <c r="R96" s="8">
        <f>'System Parameters (Sensor)'!Q35</f>
        <v>0</v>
      </c>
      <c r="S96" s="8">
        <f>'System Parameters (Sensor)'!I48</f>
        <v>0</v>
      </c>
      <c r="T96" s="8">
        <f>'System Parameters (Sensor)'!J48</f>
        <v>0</v>
      </c>
      <c r="U96" s="8">
        <f>'System Parameters (Sensor)'!K48</f>
        <v>0</v>
      </c>
      <c r="V96" s="8">
        <f>'System Parameters (Sensor)'!L48</f>
        <v>0</v>
      </c>
    </row>
    <row r="97" spans="1:22" ht="13" x14ac:dyDescent="0.15">
      <c r="A97" s="8">
        <f>'System Parameters (Sensor)'!A49</f>
        <v>0</v>
      </c>
      <c r="B97" s="8">
        <f>'System Parameters (Sensor)'!K36</f>
        <v>0</v>
      </c>
      <c r="C97" s="8">
        <f>'System Parameters (Sensor)'!L36</f>
        <v>0</v>
      </c>
      <c r="D97" s="8">
        <f>'System Parameters (Sensor)'!M36</f>
        <v>0</v>
      </c>
      <c r="O97" s="8">
        <f>'System Parameters (Sensor)'!N36</f>
        <v>0</v>
      </c>
      <c r="P97" s="8">
        <f>'System Parameters (Sensor)'!O36</f>
        <v>0</v>
      </c>
      <c r="Q97" s="8">
        <f>'System Parameters (Sensor)'!P36</f>
        <v>0</v>
      </c>
      <c r="R97" s="8">
        <f>'System Parameters (Sensor)'!Q36</f>
        <v>0</v>
      </c>
      <c r="S97" s="8">
        <f>'System Parameters (Sensor)'!I49</f>
        <v>0</v>
      </c>
      <c r="T97" s="8">
        <f>'System Parameters (Sensor)'!J49</f>
        <v>0</v>
      </c>
      <c r="U97" s="8">
        <f>'System Parameters (Sensor)'!K49</f>
        <v>0</v>
      </c>
      <c r="V97" s="8">
        <f>'System Parameters (Sensor)'!L49</f>
        <v>0</v>
      </c>
    </row>
    <row r="98" spans="1:22" ht="13" x14ac:dyDescent="0.15">
      <c r="A98" s="8" t="s">
        <v>40</v>
      </c>
      <c r="B98" s="8">
        <f>'System Parameters (Sensor)'!K37</f>
        <v>0</v>
      </c>
      <c r="C98" s="8">
        <f>'System Parameters (Sensor)'!L37</f>
        <v>0</v>
      </c>
      <c r="D98" s="21">
        <f t="shared" ref="D98:O98" si="41">D96/$B96-1</f>
        <v>4.2037177455740427E-3</v>
      </c>
      <c r="E98" s="21">
        <f t="shared" si="41"/>
        <v>3.0137344603659244E-2</v>
      </c>
      <c r="F98" s="21">
        <f t="shared" si="41"/>
        <v>6.8124759169396754E-6</v>
      </c>
      <c r="G98" s="21">
        <f t="shared" si="41"/>
        <v>6.7454818302770114E-4</v>
      </c>
      <c r="H98" s="21">
        <f t="shared" si="41"/>
        <v>0</v>
      </c>
      <c r="I98" s="21">
        <f t="shared" si="41"/>
        <v>5.1552332007328561E-2</v>
      </c>
      <c r="J98" s="21">
        <f t="shared" si="41"/>
        <v>0</v>
      </c>
      <c r="K98" s="21">
        <f t="shared" si="41"/>
        <v>1.5748314136746711E-2</v>
      </c>
      <c r="L98" s="21">
        <f t="shared" si="41"/>
        <v>0</v>
      </c>
      <c r="M98" s="21">
        <f t="shared" si="41"/>
        <v>1.3500070108318774E-3</v>
      </c>
      <c r="N98" s="21">
        <f t="shared" si="41"/>
        <v>0</v>
      </c>
      <c r="O98" s="21">
        <f t="shared" si="41"/>
        <v>0</v>
      </c>
      <c r="P98" s="8">
        <f>'System Parameters (Sensor)'!O37</f>
        <v>0</v>
      </c>
      <c r="Q98" s="8">
        <f>'System Parameters (Sensor)'!P37</f>
        <v>0</v>
      </c>
      <c r="R98" s="8">
        <f>'System Parameters (Sensor)'!Q37</f>
        <v>0</v>
      </c>
      <c r="S98" s="8">
        <f>'System Parameters (Sensor)'!I50</f>
        <v>0</v>
      </c>
      <c r="T98" s="8">
        <f>'System Parameters (Sensor)'!J50</f>
        <v>0</v>
      </c>
      <c r="U98" s="8">
        <f>'System Parameters (Sensor)'!K50</f>
        <v>0</v>
      </c>
      <c r="V98" s="8">
        <f>'System Parameters (Sensor)'!L50</f>
        <v>0</v>
      </c>
    </row>
    <row r="99" spans="1:22" ht="13" x14ac:dyDescent="0.15">
      <c r="A99" s="8" t="s">
        <v>41</v>
      </c>
      <c r="B99" s="8">
        <f>'System Parameters (Sensor)'!K38</f>
        <v>0</v>
      </c>
      <c r="C99" s="8">
        <f>'System Parameters (Sensor)'!L38</f>
        <v>0</v>
      </c>
      <c r="D99" s="8" t="s">
        <v>42</v>
      </c>
      <c r="E99" s="8" t="s">
        <v>43</v>
      </c>
      <c r="F99" s="8" t="s">
        <v>44</v>
      </c>
      <c r="G99" s="8" t="s">
        <v>45</v>
      </c>
      <c r="H99" s="8" t="s">
        <v>46</v>
      </c>
      <c r="I99" s="8" t="s">
        <v>47</v>
      </c>
      <c r="J99" s="8" t="s">
        <v>48</v>
      </c>
      <c r="K99" s="8" t="s">
        <v>49</v>
      </c>
      <c r="L99" s="8" t="s">
        <v>50</v>
      </c>
      <c r="M99" s="8" t="s">
        <v>51</v>
      </c>
      <c r="N99" s="8" t="s">
        <v>52</v>
      </c>
      <c r="O99" s="8" t="s">
        <v>53</v>
      </c>
      <c r="P99" s="8">
        <f>'System Parameters (Sensor)'!O38</f>
        <v>0</v>
      </c>
      <c r="Q99" s="8">
        <f>'System Parameters (Sensor)'!P38</f>
        <v>0</v>
      </c>
      <c r="R99" s="8">
        <f>'System Parameters (Sensor)'!Q38</f>
        <v>0</v>
      </c>
      <c r="S99" s="8">
        <f>'System Parameters (Sensor)'!I51</f>
        <v>0</v>
      </c>
      <c r="T99" s="8">
        <f>'System Parameters (Sensor)'!J51</f>
        <v>0</v>
      </c>
      <c r="U99" s="8">
        <f>'System Parameters (Sensor)'!K51</f>
        <v>0</v>
      </c>
      <c r="V99" s="8">
        <f>'System Parameters (Sensor)'!L51</f>
        <v>0</v>
      </c>
    </row>
    <row r="100" spans="1:22" ht="13" x14ac:dyDescent="0.15">
      <c r="A100" s="8">
        <f>'System Parameters (Sensor)'!A52</f>
        <v>0</v>
      </c>
      <c r="B100" s="8">
        <f>'System Parameters (Sensor)'!B52</f>
        <v>0</v>
      </c>
      <c r="C100" s="8">
        <f>'System Parameters (Sensor)'!C52</f>
        <v>0</v>
      </c>
      <c r="D100" s="8">
        <f>'System Parameters (Sensor)'!D52</f>
        <v>0</v>
      </c>
      <c r="O100" s="8">
        <f>'System Parameters (Sensor)'!E52</f>
        <v>0</v>
      </c>
      <c r="P100" s="8">
        <f>'System Parameters (Sensor)'!F52</f>
        <v>0</v>
      </c>
      <c r="Q100" s="8">
        <f>'System Parameters (Sensor)'!G52</f>
        <v>0</v>
      </c>
      <c r="R100" s="8">
        <f>'System Parameters (Sensor)'!H52</f>
        <v>0</v>
      </c>
      <c r="S100" s="8">
        <f>'System Parameters (Sensor)'!I52</f>
        <v>0</v>
      </c>
      <c r="T100" s="8">
        <f>'System Parameters (Sensor)'!J52</f>
        <v>0</v>
      </c>
      <c r="U100" s="8">
        <f>'System Parameters (Sensor)'!K52</f>
        <v>0</v>
      </c>
      <c r="V100" s="8">
        <f>'System Parameters (Sensor)'!L52</f>
        <v>0</v>
      </c>
    </row>
    <row r="101" spans="1:22" ht="13" x14ac:dyDescent="0.15">
      <c r="A101" s="8">
        <f>'System Parameters (Sensor)'!A53</f>
        <v>0</v>
      </c>
      <c r="B101" s="8">
        <f>'System Parameters (Sensor)'!B53</f>
        <v>0</v>
      </c>
      <c r="C101" s="8">
        <f>'System Parameters (Sensor)'!C53</f>
        <v>0</v>
      </c>
      <c r="D101" s="8">
        <f>'System Parameters (Sensor)'!D53</f>
        <v>0</v>
      </c>
      <c r="O101" s="8">
        <f>'System Parameters (Sensor)'!E53</f>
        <v>0</v>
      </c>
      <c r="P101" s="8">
        <f>'System Parameters (Sensor)'!F53</f>
        <v>0</v>
      </c>
      <c r="Q101" s="8">
        <f>'System Parameters (Sensor)'!G53</f>
        <v>0</v>
      </c>
      <c r="R101" s="8">
        <f>'System Parameters (Sensor)'!H53</f>
        <v>0</v>
      </c>
      <c r="S101" s="8">
        <f>'System Parameters (Sensor)'!I53</f>
        <v>0</v>
      </c>
      <c r="T101" s="8">
        <f>'System Parameters (Sensor)'!J53</f>
        <v>0</v>
      </c>
      <c r="U101" s="8">
        <f>'System Parameters (Sensor)'!K53</f>
        <v>0</v>
      </c>
      <c r="V101" s="8">
        <f>'System Parameters (Sensor)'!L53</f>
        <v>0</v>
      </c>
    </row>
    <row r="102" spans="1:22" ht="13" x14ac:dyDescent="0.15">
      <c r="A102" s="8">
        <f>'System Parameters (Sensor)'!A54</f>
        <v>0</v>
      </c>
      <c r="B102" s="8">
        <f>'System Parameters (Sensor)'!B54</f>
        <v>0</v>
      </c>
      <c r="C102" s="8">
        <f>'System Parameters (Sensor)'!C54</f>
        <v>0</v>
      </c>
      <c r="D102" s="8">
        <f>'System Parameters (Sensor)'!D54</f>
        <v>0</v>
      </c>
      <c r="O102" s="8">
        <f>'System Parameters (Sensor)'!E54</f>
        <v>0</v>
      </c>
      <c r="P102" s="8">
        <f>'System Parameters (Sensor)'!F54</f>
        <v>0</v>
      </c>
      <c r="Q102" s="8">
        <f>'System Parameters (Sensor)'!G54</f>
        <v>0</v>
      </c>
      <c r="R102" s="8">
        <f>'System Parameters (Sensor)'!H54</f>
        <v>0</v>
      </c>
      <c r="S102" s="8">
        <f>'System Parameters (Sensor)'!I54</f>
        <v>0</v>
      </c>
      <c r="T102" s="8">
        <f>'System Parameters (Sensor)'!J54</f>
        <v>0</v>
      </c>
      <c r="U102" s="8">
        <f>'System Parameters (Sensor)'!K54</f>
        <v>0</v>
      </c>
      <c r="V102" s="8">
        <f>'System Parameters (Sensor)'!L54</f>
        <v>0</v>
      </c>
    </row>
    <row r="103" spans="1:22" ht="13" x14ac:dyDescent="0.15">
      <c r="A103" s="8">
        <f>'System Parameters (Sensor)'!A55</f>
        <v>0</v>
      </c>
      <c r="B103" s="8">
        <f>'System Parameters (Sensor)'!B55</f>
        <v>0</v>
      </c>
      <c r="C103" s="8">
        <f>'System Parameters (Sensor)'!C55</f>
        <v>0</v>
      </c>
      <c r="D103" s="8">
        <f>'System Parameters (Sensor)'!D55</f>
        <v>0</v>
      </c>
      <c r="O103" s="8">
        <f>'System Parameters (Sensor)'!E55</f>
        <v>0</v>
      </c>
      <c r="P103" s="8">
        <f>'System Parameters (Sensor)'!F55</f>
        <v>0</v>
      </c>
      <c r="Q103" s="8">
        <f>'System Parameters (Sensor)'!G55</f>
        <v>0</v>
      </c>
      <c r="R103" s="8">
        <f>'System Parameters (Sensor)'!H55</f>
        <v>0</v>
      </c>
      <c r="S103" s="8">
        <f>'System Parameters (Sensor)'!I55</f>
        <v>0</v>
      </c>
      <c r="T103" s="8">
        <f>'System Parameters (Sensor)'!J55</f>
        <v>0</v>
      </c>
      <c r="U103" s="8">
        <f>'System Parameters (Sensor)'!K55</f>
        <v>0</v>
      </c>
      <c r="V103" s="8">
        <f>'System Parameters (Sensor)'!L55</f>
        <v>0</v>
      </c>
    </row>
    <row r="104" spans="1:22" ht="13" x14ac:dyDescent="0.15">
      <c r="A104" s="8">
        <f>'System Parameters (Sensor)'!A56</f>
        <v>0</v>
      </c>
      <c r="B104" s="8">
        <f>'System Parameters (Sensor)'!B56</f>
        <v>0</v>
      </c>
      <c r="C104" s="8">
        <f>'System Parameters (Sensor)'!C56</f>
        <v>0</v>
      </c>
      <c r="D104" s="8">
        <f>'System Parameters (Sensor)'!D56</f>
        <v>0</v>
      </c>
      <c r="O104" s="8">
        <f>'System Parameters (Sensor)'!E56</f>
        <v>0</v>
      </c>
      <c r="P104" s="8">
        <f>'System Parameters (Sensor)'!F56</f>
        <v>0</v>
      </c>
      <c r="Q104" s="8">
        <f>'System Parameters (Sensor)'!G56</f>
        <v>0</v>
      </c>
      <c r="R104" s="8">
        <f>'System Parameters (Sensor)'!H56</f>
        <v>0</v>
      </c>
      <c r="S104" s="8">
        <f>'System Parameters (Sensor)'!I56</f>
        <v>0</v>
      </c>
      <c r="T104" s="8">
        <f>'System Parameters (Sensor)'!J56</f>
        <v>0</v>
      </c>
      <c r="U104" s="8">
        <f>'System Parameters (Sensor)'!K56</f>
        <v>0</v>
      </c>
      <c r="V104" s="8">
        <f>'System Parameters (Sensor)'!L56</f>
        <v>0</v>
      </c>
    </row>
    <row r="105" spans="1:22" ht="13" x14ac:dyDescent="0.15">
      <c r="A105" s="8">
        <f>'System Parameters (Sensor)'!A57</f>
        <v>0</v>
      </c>
      <c r="B105" s="8">
        <f>'System Parameters (Sensor)'!B57</f>
        <v>0</v>
      </c>
      <c r="C105" s="8">
        <f>'System Parameters (Sensor)'!C57</f>
        <v>0</v>
      </c>
      <c r="D105" s="8">
        <f>'System Parameters (Sensor)'!D57</f>
        <v>0</v>
      </c>
      <c r="O105" s="8">
        <f>'System Parameters (Sensor)'!E57</f>
        <v>0</v>
      </c>
      <c r="P105" s="8">
        <f>'System Parameters (Sensor)'!F57</f>
        <v>0</v>
      </c>
      <c r="Q105" s="8">
        <f>'System Parameters (Sensor)'!G57</f>
        <v>0</v>
      </c>
      <c r="R105" s="8">
        <f>'System Parameters (Sensor)'!H57</f>
        <v>0</v>
      </c>
      <c r="S105" s="8">
        <f>'System Parameters (Sensor)'!I57</f>
        <v>0</v>
      </c>
      <c r="T105" s="8">
        <f>'System Parameters (Sensor)'!J57</f>
        <v>0</v>
      </c>
      <c r="U105" s="8">
        <f>'System Parameters (Sensor)'!K57</f>
        <v>0</v>
      </c>
      <c r="V105" s="8">
        <f>'System Parameters (Sensor)'!L57</f>
        <v>0</v>
      </c>
    </row>
    <row r="106" spans="1:22" ht="13" x14ac:dyDescent="0.15">
      <c r="A106" s="8">
        <f>'System Parameters (Sensor)'!A58</f>
        <v>0</v>
      </c>
      <c r="B106" s="8">
        <f>'System Parameters (Sensor)'!B58</f>
        <v>0</v>
      </c>
      <c r="C106" s="8">
        <f>'System Parameters (Sensor)'!C58</f>
        <v>0</v>
      </c>
      <c r="D106" s="8">
        <f>'System Parameters (Sensor)'!D58</f>
        <v>0</v>
      </c>
      <c r="O106" s="8">
        <f>'System Parameters (Sensor)'!E58</f>
        <v>0</v>
      </c>
      <c r="P106" s="8">
        <f>'System Parameters (Sensor)'!F58</f>
        <v>0</v>
      </c>
      <c r="Q106" s="8">
        <f>'System Parameters (Sensor)'!G58</f>
        <v>0</v>
      </c>
      <c r="R106" s="8">
        <f>'System Parameters (Sensor)'!H58</f>
        <v>0</v>
      </c>
      <c r="S106" s="8">
        <f>'System Parameters (Sensor)'!I58</f>
        <v>0</v>
      </c>
      <c r="T106" s="8">
        <f>'System Parameters (Sensor)'!J58</f>
        <v>0</v>
      </c>
      <c r="U106" s="8">
        <f>'System Parameters (Sensor)'!K58</f>
        <v>0</v>
      </c>
      <c r="V106" s="8">
        <f>'System Parameters (Sensor)'!L58</f>
        <v>0</v>
      </c>
    </row>
    <row r="107" spans="1:22" ht="13" x14ac:dyDescent="0.15">
      <c r="A107" s="8">
        <f>'System Parameters (Sensor)'!A59</f>
        <v>0</v>
      </c>
      <c r="B107" s="8">
        <f>'System Parameters (Sensor)'!B59</f>
        <v>0</v>
      </c>
      <c r="C107" s="8">
        <f>'System Parameters (Sensor)'!C59</f>
        <v>0</v>
      </c>
      <c r="D107" s="8">
        <f>'System Parameters (Sensor)'!D59</f>
        <v>0</v>
      </c>
      <c r="O107" s="8">
        <f>'System Parameters (Sensor)'!E59</f>
        <v>0</v>
      </c>
      <c r="P107" s="8">
        <f>'System Parameters (Sensor)'!F59</f>
        <v>0</v>
      </c>
      <c r="Q107" s="8">
        <f>'System Parameters (Sensor)'!G59</f>
        <v>0</v>
      </c>
      <c r="R107" s="8">
        <f>'System Parameters (Sensor)'!H59</f>
        <v>0</v>
      </c>
      <c r="S107" s="8">
        <f>'System Parameters (Sensor)'!I59</f>
        <v>0</v>
      </c>
      <c r="T107" s="8">
        <f>'System Parameters (Sensor)'!J59</f>
        <v>0</v>
      </c>
      <c r="U107" s="8">
        <f>'System Parameters (Sensor)'!K59</f>
        <v>0</v>
      </c>
      <c r="V107" s="8">
        <f>'System Parameters (Sensor)'!L59</f>
        <v>0</v>
      </c>
    </row>
    <row r="108" spans="1:22" ht="13" x14ac:dyDescent="0.15">
      <c r="A108" s="8">
        <f>'System Parameters (Sensor)'!A60</f>
        <v>0</v>
      </c>
      <c r="B108" s="8">
        <f>'System Parameters (Sensor)'!B60</f>
        <v>0</v>
      </c>
      <c r="C108" s="8">
        <f>'System Parameters (Sensor)'!C60</f>
        <v>0</v>
      </c>
      <c r="D108" s="8">
        <f>'System Parameters (Sensor)'!D60</f>
        <v>0</v>
      </c>
      <c r="O108" s="8">
        <f>'System Parameters (Sensor)'!E60</f>
        <v>0</v>
      </c>
      <c r="P108" s="8">
        <f>'System Parameters (Sensor)'!F60</f>
        <v>0</v>
      </c>
      <c r="Q108" s="8">
        <f>'System Parameters (Sensor)'!G60</f>
        <v>0</v>
      </c>
      <c r="R108" s="8">
        <f>'System Parameters (Sensor)'!H60</f>
        <v>0</v>
      </c>
      <c r="S108" s="8">
        <f>'System Parameters (Sensor)'!I60</f>
        <v>0</v>
      </c>
      <c r="T108" s="8">
        <f>'System Parameters (Sensor)'!J60</f>
        <v>0</v>
      </c>
      <c r="U108" s="8">
        <f>'System Parameters (Sensor)'!K60</f>
        <v>0</v>
      </c>
      <c r="V108" s="8">
        <f>'System Parameters (Sensor)'!L60</f>
        <v>0</v>
      </c>
    </row>
    <row r="109" spans="1:22" ht="13" x14ac:dyDescent="0.15">
      <c r="A109" s="8">
        <f>'System Parameters (Sensor)'!A61</f>
        <v>0</v>
      </c>
      <c r="B109" s="8">
        <f>'System Parameters (Sensor)'!B61</f>
        <v>0</v>
      </c>
      <c r="C109" s="8">
        <f>'System Parameters (Sensor)'!C61</f>
        <v>0</v>
      </c>
      <c r="D109" s="8">
        <f>'System Parameters (Sensor)'!D61</f>
        <v>0</v>
      </c>
      <c r="O109" s="8">
        <f>'System Parameters (Sensor)'!E61</f>
        <v>0</v>
      </c>
      <c r="P109" s="8">
        <f>'System Parameters (Sensor)'!F61</f>
        <v>0</v>
      </c>
      <c r="Q109" s="8">
        <f>'System Parameters (Sensor)'!G61</f>
        <v>0</v>
      </c>
      <c r="R109" s="8">
        <f>'System Parameters (Sensor)'!H61</f>
        <v>0</v>
      </c>
      <c r="S109" s="8">
        <f>'System Parameters (Sensor)'!I61</f>
        <v>0</v>
      </c>
      <c r="T109" s="8">
        <f>'System Parameters (Sensor)'!J61</f>
        <v>0</v>
      </c>
      <c r="U109" s="8">
        <f>'System Parameters (Sensor)'!K61</f>
        <v>0</v>
      </c>
      <c r="V109" s="8">
        <f>'System Parameters (Sensor)'!L61</f>
        <v>0</v>
      </c>
    </row>
    <row r="110" spans="1:22" ht="13" x14ac:dyDescent="0.15">
      <c r="A110" s="8">
        <f>'System Parameters (Sensor)'!A62</f>
        <v>0</v>
      </c>
      <c r="B110" s="8">
        <f>'System Parameters (Sensor)'!B62</f>
        <v>0</v>
      </c>
      <c r="C110" s="8">
        <f>'System Parameters (Sensor)'!C62</f>
        <v>0</v>
      </c>
      <c r="D110" s="8">
        <f>'System Parameters (Sensor)'!D62</f>
        <v>0</v>
      </c>
      <c r="O110" s="8">
        <f>'System Parameters (Sensor)'!E62</f>
        <v>0</v>
      </c>
      <c r="P110" s="8">
        <f>'System Parameters (Sensor)'!F62</f>
        <v>0</v>
      </c>
      <c r="Q110" s="8">
        <f>'System Parameters (Sensor)'!G62</f>
        <v>0</v>
      </c>
      <c r="R110" s="8">
        <f>'System Parameters (Sensor)'!H62</f>
        <v>0</v>
      </c>
      <c r="S110" s="8">
        <f>'System Parameters (Sensor)'!I62</f>
        <v>0</v>
      </c>
      <c r="T110" s="8">
        <f>'System Parameters (Sensor)'!J62</f>
        <v>0</v>
      </c>
      <c r="U110" s="8">
        <f>'System Parameters (Sensor)'!K62</f>
        <v>0</v>
      </c>
      <c r="V110" s="8">
        <f>'System Parameters (Sensor)'!L62</f>
        <v>0</v>
      </c>
    </row>
    <row r="111" spans="1:22" ht="13" x14ac:dyDescent="0.15">
      <c r="A111" s="8">
        <f>'System Parameters (Sensor)'!A63</f>
        <v>0</v>
      </c>
      <c r="B111" s="8">
        <f>'System Parameters (Sensor)'!B63</f>
        <v>0</v>
      </c>
      <c r="C111" s="8">
        <f>'System Parameters (Sensor)'!C63</f>
        <v>0</v>
      </c>
      <c r="D111" s="8">
        <f>'System Parameters (Sensor)'!D63</f>
        <v>0</v>
      </c>
      <c r="O111" s="8">
        <f>'System Parameters (Sensor)'!E63</f>
        <v>0</v>
      </c>
      <c r="P111" s="8">
        <f>'System Parameters (Sensor)'!F63</f>
        <v>0</v>
      </c>
      <c r="Q111" s="8">
        <f>'System Parameters (Sensor)'!G63</f>
        <v>0</v>
      </c>
      <c r="R111" s="8">
        <f>'System Parameters (Sensor)'!H63</f>
        <v>0</v>
      </c>
      <c r="S111" s="8">
        <f>'System Parameters (Sensor)'!I63</f>
        <v>0</v>
      </c>
      <c r="T111" s="8">
        <f>'System Parameters (Sensor)'!J63</f>
        <v>0</v>
      </c>
      <c r="U111" s="8">
        <f>'System Parameters (Sensor)'!K63</f>
        <v>0</v>
      </c>
      <c r="V111" s="8">
        <f>'System Parameters (Sensor)'!L63</f>
        <v>0</v>
      </c>
    </row>
    <row r="112" spans="1:22" ht="13" x14ac:dyDescent="0.15">
      <c r="A112" s="8">
        <f>'System Parameters (Sensor)'!A64</f>
        <v>0</v>
      </c>
      <c r="B112" s="8">
        <f>'System Parameters (Sensor)'!B64</f>
        <v>0</v>
      </c>
      <c r="C112" s="8">
        <f>'System Parameters (Sensor)'!C64</f>
        <v>0</v>
      </c>
      <c r="D112" s="8">
        <f>'System Parameters (Sensor)'!D64</f>
        <v>0</v>
      </c>
      <c r="O112" s="8">
        <f>'System Parameters (Sensor)'!E64</f>
        <v>0</v>
      </c>
      <c r="P112" s="8">
        <f>'System Parameters (Sensor)'!F64</f>
        <v>0</v>
      </c>
      <c r="Q112" s="8">
        <f>'System Parameters (Sensor)'!G64</f>
        <v>0</v>
      </c>
      <c r="R112" s="8">
        <f>'System Parameters (Sensor)'!H64</f>
        <v>0</v>
      </c>
      <c r="S112" s="8">
        <f>'System Parameters (Sensor)'!I64</f>
        <v>0</v>
      </c>
      <c r="T112" s="8">
        <f>'System Parameters (Sensor)'!J64</f>
        <v>0</v>
      </c>
      <c r="U112" s="8">
        <f>'System Parameters (Sensor)'!K64</f>
        <v>0</v>
      </c>
      <c r="V112" s="8">
        <f>'System Parameters (Sensor)'!L64</f>
        <v>0</v>
      </c>
    </row>
    <row r="113" spans="1:22" ht="13" x14ac:dyDescent="0.15">
      <c r="A113" s="8">
        <f>'System Parameters (Sensor)'!A65</f>
        <v>0</v>
      </c>
      <c r="B113" s="8">
        <f>'System Parameters (Sensor)'!B65</f>
        <v>0</v>
      </c>
      <c r="C113" s="8">
        <f>'System Parameters (Sensor)'!C65</f>
        <v>0</v>
      </c>
      <c r="D113" s="8">
        <f>'System Parameters (Sensor)'!D65</f>
        <v>0</v>
      </c>
      <c r="O113" s="8">
        <f>'System Parameters (Sensor)'!E65</f>
        <v>0</v>
      </c>
      <c r="P113" s="8">
        <f>'System Parameters (Sensor)'!F65</f>
        <v>0</v>
      </c>
      <c r="Q113" s="8">
        <f>'System Parameters (Sensor)'!G65</f>
        <v>0</v>
      </c>
      <c r="R113" s="8">
        <f>'System Parameters (Sensor)'!H65</f>
        <v>0</v>
      </c>
      <c r="S113" s="8">
        <f>'System Parameters (Sensor)'!I65</f>
        <v>0</v>
      </c>
      <c r="T113" s="8">
        <f>'System Parameters (Sensor)'!J65</f>
        <v>0</v>
      </c>
      <c r="U113" s="8">
        <f>'System Parameters (Sensor)'!K65</f>
        <v>0</v>
      </c>
      <c r="V113" s="8">
        <f>'System Parameters (Sensor)'!L65</f>
        <v>0</v>
      </c>
    </row>
    <row r="114" spans="1:22" ht="13" x14ac:dyDescent="0.15">
      <c r="A114" s="8">
        <f>'System Parameters (Sensor)'!A66</f>
        <v>0</v>
      </c>
      <c r="B114" s="8">
        <f>'System Parameters (Sensor)'!B66</f>
        <v>0</v>
      </c>
      <c r="C114" s="8">
        <f>'System Parameters (Sensor)'!C66</f>
        <v>0</v>
      </c>
      <c r="D114" s="8">
        <f>'System Parameters (Sensor)'!D66</f>
        <v>0</v>
      </c>
      <c r="O114" s="8">
        <f>'System Parameters (Sensor)'!E66</f>
        <v>0</v>
      </c>
      <c r="P114" s="8">
        <f>'System Parameters (Sensor)'!F66</f>
        <v>0</v>
      </c>
      <c r="Q114" s="8">
        <f>'System Parameters (Sensor)'!G66</f>
        <v>0</v>
      </c>
      <c r="R114" s="8">
        <f>'System Parameters (Sensor)'!H66</f>
        <v>0</v>
      </c>
      <c r="S114" s="8">
        <f>'System Parameters (Sensor)'!I66</f>
        <v>0</v>
      </c>
      <c r="T114" s="8">
        <f>'System Parameters (Sensor)'!J66</f>
        <v>0</v>
      </c>
      <c r="U114" s="8">
        <f>'System Parameters (Sensor)'!K66</f>
        <v>0</v>
      </c>
      <c r="V114" s="8">
        <f>'System Parameters (Sensor)'!L66</f>
        <v>0</v>
      </c>
    </row>
    <row r="115" spans="1:22" ht="13" x14ac:dyDescent="0.15">
      <c r="A115" s="8">
        <f>'System Parameters (Sensor)'!A67</f>
        <v>0</v>
      </c>
      <c r="B115" s="8">
        <f>'System Parameters (Sensor)'!B67</f>
        <v>0</v>
      </c>
      <c r="C115" s="8">
        <f>'System Parameters (Sensor)'!C67</f>
        <v>0</v>
      </c>
      <c r="D115" s="8">
        <f>'System Parameters (Sensor)'!D67</f>
        <v>0</v>
      </c>
      <c r="O115" s="8">
        <f>'System Parameters (Sensor)'!E67</f>
        <v>0</v>
      </c>
      <c r="P115" s="8">
        <f>'System Parameters (Sensor)'!F67</f>
        <v>0</v>
      </c>
      <c r="Q115" s="8">
        <f>'System Parameters (Sensor)'!G67</f>
        <v>0</v>
      </c>
      <c r="R115" s="8">
        <f>'System Parameters (Sensor)'!H67</f>
        <v>0</v>
      </c>
      <c r="S115" s="8">
        <f>'System Parameters (Sensor)'!I67</f>
        <v>0</v>
      </c>
      <c r="T115" s="8">
        <f>'System Parameters (Sensor)'!J67</f>
        <v>0</v>
      </c>
      <c r="U115" s="8">
        <f>'System Parameters (Sensor)'!K67</f>
        <v>0</v>
      </c>
      <c r="V115" s="8">
        <f>'System Parameters (Sensor)'!L67</f>
        <v>0</v>
      </c>
    </row>
    <row r="116" spans="1:22" ht="13" x14ac:dyDescent="0.15">
      <c r="A116" s="8">
        <f>'System Parameters (Sensor)'!A68</f>
        <v>0</v>
      </c>
      <c r="B116" s="8">
        <f>'System Parameters (Sensor)'!B68</f>
        <v>0</v>
      </c>
      <c r="C116" s="8">
        <f>'System Parameters (Sensor)'!C68</f>
        <v>0</v>
      </c>
      <c r="D116" s="8">
        <f>'System Parameters (Sensor)'!D68</f>
        <v>0</v>
      </c>
      <c r="O116" s="8">
        <f>'System Parameters (Sensor)'!E68</f>
        <v>0</v>
      </c>
      <c r="P116" s="8">
        <f>'System Parameters (Sensor)'!F68</f>
        <v>0</v>
      </c>
      <c r="Q116" s="8">
        <f>'System Parameters (Sensor)'!G68</f>
        <v>0</v>
      </c>
      <c r="R116" s="8">
        <f>'System Parameters (Sensor)'!H68</f>
        <v>0</v>
      </c>
      <c r="S116" s="8">
        <f>'System Parameters (Sensor)'!I68</f>
        <v>0</v>
      </c>
      <c r="T116" s="8">
        <f>'System Parameters (Sensor)'!J68</f>
        <v>0</v>
      </c>
      <c r="U116" s="8">
        <f>'System Parameters (Sensor)'!K68</f>
        <v>0</v>
      </c>
      <c r="V116" s="8">
        <f>'System Parameters (Sensor)'!L68</f>
        <v>0</v>
      </c>
    </row>
    <row r="117" spans="1:22" ht="13" x14ac:dyDescent="0.15">
      <c r="A117" s="8">
        <f>'System Parameters (Sensor)'!A69</f>
        <v>0</v>
      </c>
      <c r="B117" s="8">
        <f>'System Parameters (Sensor)'!B69</f>
        <v>0</v>
      </c>
      <c r="C117" s="8">
        <f>'System Parameters (Sensor)'!C69</f>
        <v>0</v>
      </c>
      <c r="D117" s="8">
        <f>'System Parameters (Sensor)'!D69</f>
        <v>0</v>
      </c>
      <c r="O117" s="8">
        <f>'System Parameters (Sensor)'!E69</f>
        <v>0</v>
      </c>
      <c r="P117" s="8">
        <f>'System Parameters (Sensor)'!F69</f>
        <v>0</v>
      </c>
      <c r="Q117" s="8">
        <f>'System Parameters (Sensor)'!G69</f>
        <v>0</v>
      </c>
      <c r="R117" s="8">
        <f>'System Parameters (Sensor)'!H69</f>
        <v>0</v>
      </c>
      <c r="S117" s="8">
        <f>'System Parameters (Sensor)'!I69</f>
        <v>0</v>
      </c>
      <c r="T117" s="8">
        <f>'System Parameters (Sensor)'!J69</f>
        <v>0</v>
      </c>
      <c r="U117" s="8">
        <f>'System Parameters (Sensor)'!K69</f>
        <v>0</v>
      </c>
      <c r="V117" s="8">
        <f>'System Parameters (Sensor)'!L69</f>
        <v>0</v>
      </c>
    </row>
    <row r="118" spans="1:22" ht="13" x14ac:dyDescent="0.15">
      <c r="A118" s="8">
        <f>'System Parameters (Sensor)'!A70</f>
        <v>0</v>
      </c>
      <c r="B118" s="8">
        <f>'System Parameters (Sensor)'!B70</f>
        <v>0</v>
      </c>
      <c r="C118" s="8">
        <f>'System Parameters (Sensor)'!C70</f>
        <v>0</v>
      </c>
      <c r="D118" s="8">
        <f>'System Parameters (Sensor)'!D70</f>
        <v>0</v>
      </c>
      <c r="O118" s="8">
        <f>'System Parameters (Sensor)'!E70</f>
        <v>0</v>
      </c>
      <c r="P118" s="8">
        <f>'System Parameters (Sensor)'!F70</f>
        <v>0</v>
      </c>
      <c r="Q118" s="8">
        <f>'System Parameters (Sensor)'!G70</f>
        <v>0</v>
      </c>
      <c r="R118" s="8">
        <f>'System Parameters (Sensor)'!H70</f>
        <v>0</v>
      </c>
      <c r="S118" s="8">
        <f>'System Parameters (Sensor)'!I70</f>
        <v>0</v>
      </c>
      <c r="T118" s="8">
        <f>'System Parameters (Sensor)'!J70</f>
        <v>0</v>
      </c>
      <c r="U118" s="8">
        <f>'System Parameters (Sensor)'!K70</f>
        <v>0</v>
      </c>
      <c r="V118" s="8">
        <f>'System Parameters (Sensor)'!L70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CF1F6-23F2-CA45-AF44-962E17DD5BC5}">
  <sheetPr>
    <tabColor theme="9" tint="0.59999389629810485"/>
    <outlinePr summaryBelow="0" summaryRight="0"/>
  </sheetPr>
  <dimension ref="A2:Q87"/>
  <sheetViews>
    <sheetView tabSelected="1" workbookViewId="0">
      <selection activeCell="G62" sqref="G62"/>
    </sheetView>
  </sheetViews>
  <sheetFormatPr baseColWidth="10" defaultColWidth="12.6640625" defaultRowHeight="15.75" customHeight="1" x14ac:dyDescent="0.15"/>
  <cols>
    <col min="1" max="1" width="18" customWidth="1"/>
    <col min="2" max="2" width="12.6640625" style="23"/>
    <col min="5" max="5" width="12.6640625" customWidth="1"/>
  </cols>
  <sheetData>
    <row r="2" spans="1:9" ht="15.75" customHeight="1" x14ac:dyDescent="0.15">
      <c r="A2" s="1"/>
      <c r="B2" s="22"/>
      <c r="C2" s="2"/>
      <c r="D2" s="2"/>
      <c r="E2" s="2"/>
      <c r="F2" s="2"/>
      <c r="G2" s="2"/>
      <c r="H2" s="2"/>
      <c r="I2" s="3"/>
    </row>
    <row r="3" spans="1:9" ht="15.75" customHeight="1" x14ac:dyDescent="0.15">
      <c r="A3" s="4" t="s">
        <v>0</v>
      </c>
      <c r="E3" s="5" t="s">
        <v>1</v>
      </c>
      <c r="I3" s="6"/>
    </row>
    <row r="4" spans="1:9" ht="15.75" customHeight="1" x14ac:dyDescent="0.15">
      <c r="A4" s="7"/>
      <c r="B4" s="24" t="s">
        <v>2</v>
      </c>
      <c r="I4" s="6"/>
    </row>
    <row r="5" spans="1:9" ht="15.75" customHeight="1" x14ac:dyDescent="0.15">
      <c r="A5" s="7"/>
      <c r="E5" s="8" t="s">
        <v>3</v>
      </c>
      <c r="F5" s="8" t="s">
        <v>4</v>
      </c>
      <c r="G5" s="8" t="s">
        <v>5</v>
      </c>
      <c r="I5" s="6"/>
    </row>
    <row r="6" spans="1:9" ht="15.75" customHeight="1" x14ac:dyDescent="0.15">
      <c r="A6" s="4" t="s">
        <v>6</v>
      </c>
      <c r="I6" s="6"/>
    </row>
    <row r="7" spans="1:9" ht="15.75" customHeight="1" x14ac:dyDescent="0.15">
      <c r="A7" s="7" t="s">
        <v>7</v>
      </c>
      <c r="B7" s="25">
        <v>89.1</v>
      </c>
      <c r="C7" s="8" t="s">
        <v>8</v>
      </c>
      <c r="E7" s="9">
        <v>0</v>
      </c>
      <c r="F7" s="10">
        <v>7.0000000000000007E-2</v>
      </c>
      <c r="G7" s="9">
        <v>0</v>
      </c>
      <c r="I7" s="6"/>
    </row>
    <row r="8" spans="1:9" ht="15.75" customHeight="1" x14ac:dyDescent="0.15">
      <c r="A8" s="7" t="s">
        <v>9</v>
      </c>
      <c r="B8" s="26">
        <v>33</v>
      </c>
      <c r="C8" s="8" t="s">
        <v>8</v>
      </c>
      <c r="E8" s="9">
        <v>0</v>
      </c>
      <c r="F8" s="10">
        <v>0.93</v>
      </c>
      <c r="G8" s="9">
        <v>0</v>
      </c>
      <c r="I8" s="6"/>
    </row>
    <row r="9" spans="1:9" ht="15.75" customHeight="1" x14ac:dyDescent="0.15">
      <c r="A9" s="7" t="s">
        <v>10</v>
      </c>
      <c r="B9" s="26">
        <v>0.14499999999999999</v>
      </c>
      <c r="C9" s="8" t="s">
        <v>8</v>
      </c>
      <c r="E9" s="9">
        <v>1</v>
      </c>
      <c r="F9" s="9">
        <v>0</v>
      </c>
      <c r="G9" s="9">
        <v>0</v>
      </c>
      <c r="I9" s="6"/>
    </row>
    <row r="10" spans="1:9" ht="15.75" customHeight="1" x14ac:dyDescent="0.15">
      <c r="A10" s="7"/>
      <c r="I10" s="6"/>
    </row>
    <row r="11" spans="1:9" ht="15.75" customHeight="1" x14ac:dyDescent="0.15">
      <c r="A11" s="4" t="s">
        <v>11</v>
      </c>
      <c r="I11" s="6"/>
    </row>
    <row r="12" spans="1:9" ht="15.75" customHeight="1" x14ac:dyDescent="0.15">
      <c r="A12" s="7" t="s">
        <v>12</v>
      </c>
      <c r="B12" s="26">
        <v>0</v>
      </c>
      <c r="C12" s="8" t="s">
        <v>8</v>
      </c>
      <c r="E12" s="9">
        <v>0</v>
      </c>
      <c r="F12" s="9">
        <v>0</v>
      </c>
      <c r="G12" s="9">
        <v>0</v>
      </c>
      <c r="I12" s="6"/>
    </row>
    <row r="13" spans="1:9" ht="15.75" customHeight="1" x14ac:dyDescent="0.15">
      <c r="A13" s="7"/>
      <c r="B13" s="27"/>
      <c r="I13" s="6"/>
    </row>
    <row r="14" spans="1:9" ht="15.75" customHeight="1" x14ac:dyDescent="0.15">
      <c r="A14" s="7"/>
      <c r="B14" s="27"/>
      <c r="I14" s="6"/>
    </row>
    <row r="15" spans="1:9" ht="15.75" customHeight="1" x14ac:dyDescent="0.15">
      <c r="A15" s="4" t="s">
        <v>13</v>
      </c>
      <c r="B15" s="27"/>
      <c r="I15" s="6"/>
    </row>
    <row r="16" spans="1:9" ht="15.75" customHeight="1" x14ac:dyDescent="0.15">
      <c r="A16" s="7" t="s">
        <v>12</v>
      </c>
      <c r="B16" s="26">
        <v>3.5999999999999997E-2</v>
      </c>
      <c r="C16" s="8" t="s">
        <v>8</v>
      </c>
      <c r="E16" s="9">
        <v>0</v>
      </c>
      <c r="F16" s="9">
        <v>1</v>
      </c>
      <c r="G16" s="9">
        <v>0</v>
      </c>
      <c r="I16" s="6"/>
    </row>
    <row r="17" spans="1:17" ht="15.75" customHeight="1" x14ac:dyDescent="0.15">
      <c r="A17" s="7" t="s">
        <v>9</v>
      </c>
      <c r="B17" s="26">
        <v>0.02</v>
      </c>
      <c r="C17" s="8" t="s">
        <v>8</v>
      </c>
      <c r="E17" s="9">
        <v>0</v>
      </c>
      <c r="F17" s="9">
        <v>0</v>
      </c>
      <c r="G17" s="9">
        <v>0</v>
      </c>
      <c r="I17" s="6"/>
    </row>
    <row r="18" spans="1:17" ht="15.75" customHeight="1" x14ac:dyDescent="0.15">
      <c r="A18" s="7" t="s">
        <v>14</v>
      </c>
      <c r="B18" s="26">
        <v>0</v>
      </c>
      <c r="C18" s="8" t="s">
        <v>8</v>
      </c>
      <c r="E18" s="9">
        <v>1</v>
      </c>
      <c r="F18" s="9">
        <v>0</v>
      </c>
      <c r="G18" s="9">
        <v>0</v>
      </c>
      <c r="I18" s="6"/>
    </row>
    <row r="19" spans="1:17" ht="15.75" customHeight="1" x14ac:dyDescent="0.15">
      <c r="A19" s="7"/>
      <c r="B19" s="27"/>
      <c r="I19" s="6"/>
    </row>
    <row r="20" spans="1:17" ht="15.75" customHeight="1" x14ac:dyDescent="0.15">
      <c r="A20" s="4" t="s">
        <v>15</v>
      </c>
      <c r="B20" s="27"/>
      <c r="I20" s="6"/>
    </row>
    <row r="21" spans="1:17" ht="15.75" customHeight="1" x14ac:dyDescent="0.15">
      <c r="A21" s="7" t="s">
        <v>12</v>
      </c>
      <c r="B21" s="26">
        <v>0</v>
      </c>
      <c r="C21" s="8" t="s">
        <v>8</v>
      </c>
      <c r="E21" s="9">
        <v>0</v>
      </c>
      <c r="F21" s="9">
        <v>0</v>
      </c>
      <c r="G21" s="9">
        <v>0</v>
      </c>
      <c r="I21" s="6"/>
    </row>
    <row r="22" spans="1:17" ht="15.75" customHeight="1" x14ac:dyDescent="0.15">
      <c r="A22" s="7" t="s">
        <v>16</v>
      </c>
      <c r="B22" s="26">
        <v>0</v>
      </c>
      <c r="C22" s="8" t="s">
        <v>8</v>
      </c>
      <c r="E22" s="9">
        <v>0</v>
      </c>
      <c r="F22" s="9">
        <v>0</v>
      </c>
      <c r="G22" s="9">
        <v>0</v>
      </c>
      <c r="I22" s="6"/>
    </row>
    <row r="23" spans="1:17" ht="15.75" customHeight="1" x14ac:dyDescent="0.15">
      <c r="A23" s="7"/>
      <c r="I23" s="6"/>
    </row>
    <row r="24" spans="1:17" ht="15.75" customHeight="1" x14ac:dyDescent="0.15">
      <c r="A24" s="4" t="s">
        <v>17</v>
      </c>
      <c r="I24" s="6"/>
      <c r="K24" s="1"/>
      <c r="L24" s="2"/>
      <c r="M24" s="2"/>
      <c r="N24" s="2"/>
      <c r="O24" s="2"/>
      <c r="P24" s="2"/>
      <c r="Q24" s="3"/>
    </row>
    <row r="25" spans="1:17" ht="15.75" customHeight="1" x14ac:dyDescent="0.15">
      <c r="A25" s="7" t="s">
        <v>18</v>
      </c>
      <c r="B25" s="26">
        <v>0</v>
      </c>
      <c r="C25" s="8" t="s">
        <v>19</v>
      </c>
      <c r="E25" s="9">
        <v>0</v>
      </c>
      <c r="F25" s="9">
        <v>0</v>
      </c>
      <c r="G25" s="9">
        <v>0</v>
      </c>
      <c r="I25" s="6"/>
      <c r="K25" s="7"/>
      <c r="L25" s="13" t="s">
        <v>20</v>
      </c>
      <c r="M25" s="13"/>
      <c r="N25" s="13"/>
      <c r="O25" s="13" t="s">
        <v>21</v>
      </c>
      <c r="P25" s="13"/>
      <c r="Q25" s="6"/>
    </row>
    <row r="26" spans="1:17" ht="15.75" customHeight="1" x14ac:dyDescent="0.15">
      <c r="A26" s="7" t="s">
        <v>22</v>
      </c>
      <c r="B26" s="26">
        <v>0</v>
      </c>
      <c r="C26" s="8" t="s">
        <v>8</v>
      </c>
      <c r="E26" s="9">
        <v>0</v>
      </c>
      <c r="F26" s="9">
        <v>0</v>
      </c>
      <c r="G26" s="9">
        <v>0</v>
      </c>
      <c r="I26" s="6"/>
      <c r="K26" s="7"/>
      <c r="L26" s="13" t="str">
        <f>E5</f>
        <v>"off"</v>
      </c>
      <c r="M26" s="13">
        <f>SUMPRODUCT(B7:B28, E7:E28)</f>
        <v>0.14499999999999999</v>
      </c>
      <c r="N26" s="13" t="s">
        <v>8</v>
      </c>
      <c r="O26" s="14">
        <f t="shared" ref="O26:O27" si="0">$M$31/M26</f>
        <v>24241.37931034483</v>
      </c>
      <c r="P26" s="13" t="s">
        <v>23</v>
      </c>
      <c r="Q26" s="6"/>
    </row>
    <row r="27" spans="1:17" ht="15.75" customHeight="1" x14ac:dyDescent="0.15">
      <c r="A27" s="7" t="s">
        <v>24</v>
      </c>
      <c r="B27" s="26">
        <v>0</v>
      </c>
      <c r="C27" s="8" t="s">
        <v>8</v>
      </c>
      <c r="E27" s="9">
        <v>0</v>
      </c>
      <c r="F27" s="9">
        <v>0</v>
      </c>
      <c r="G27" s="9">
        <v>0</v>
      </c>
      <c r="I27" s="6"/>
      <c r="K27" s="7"/>
      <c r="L27" s="13" t="str">
        <f>F5</f>
        <v>"sensing"</v>
      </c>
      <c r="M27" s="13">
        <f>SUMPRODUCT(B7:B28, F7:F28)</f>
        <v>36.963000000000001</v>
      </c>
      <c r="N27" s="13" t="s">
        <v>8</v>
      </c>
      <c r="O27" s="14">
        <f t="shared" si="0"/>
        <v>95.09509509509509</v>
      </c>
      <c r="P27" s="13" t="s">
        <v>23</v>
      </c>
      <c r="Q27" s="6"/>
    </row>
    <row r="28" spans="1:17" ht="15.75" customHeight="1" x14ac:dyDescent="0.15">
      <c r="A28" s="7" t="s">
        <v>25</v>
      </c>
      <c r="B28" s="26">
        <v>0</v>
      </c>
      <c r="C28" s="8" t="s">
        <v>8</v>
      </c>
      <c r="E28" s="9">
        <v>0</v>
      </c>
      <c r="F28" s="9">
        <v>0</v>
      </c>
      <c r="G28" s="9">
        <v>0</v>
      </c>
      <c r="I28" s="6"/>
      <c r="K28" s="7"/>
      <c r="L28" s="13" t="str">
        <f>G5</f>
        <v>"interactive"</v>
      </c>
      <c r="M28" s="13">
        <f>SUMPRODUCT(B7:B28, G7:G28)</f>
        <v>0</v>
      </c>
      <c r="N28" s="13" t="s">
        <v>8</v>
      </c>
      <c r="O28" s="14" t="e">
        <f>$M$31/M28</f>
        <v>#DIV/0!</v>
      </c>
      <c r="P28" s="13" t="s">
        <v>23</v>
      </c>
      <c r="Q28" s="6"/>
    </row>
    <row r="29" spans="1:17" ht="15.75" customHeight="1" x14ac:dyDescent="0.15">
      <c r="A29" s="7"/>
      <c r="I29" s="6"/>
      <c r="K29" s="7"/>
      <c r="Q29" s="6"/>
    </row>
    <row r="30" spans="1:17" ht="15.75" customHeight="1" x14ac:dyDescent="0.15">
      <c r="A30" s="4"/>
      <c r="E30" s="12">
        <v>16</v>
      </c>
      <c r="F30" s="12">
        <v>8</v>
      </c>
      <c r="G30" s="12">
        <v>0</v>
      </c>
      <c r="H30" s="8" t="s">
        <v>26</v>
      </c>
      <c r="I30" s="6"/>
      <c r="K30" s="7"/>
      <c r="L30" s="8" t="s">
        <v>27</v>
      </c>
      <c r="Q30" s="6"/>
    </row>
    <row r="31" spans="1:17" ht="15.75" customHeight="1" x14ac:dyDescent="0.15">
      <c r="A31" s="4" t="s">
        <v>28</v>
      </c>
      <c r="I31" s="6"/>
      <c r="K31" s="7"/>
      <c r="M31" s="8">
        <f>B32*B33*B34</f>
        <v>3515</v>
      </c>
      <c r="N31" s="8" t="s">
        <v>29</v>
      </c>
      <c r="Q31" s="6"/>
    </row>
    <row r="32" spans="1:17" ht="15.75" customHeight="1" x14ac:dyDescent="0.15">
      <c r="A32" s="7" t="s">
        <v>30</v>
      </c>
      <c r="B32" s="26">
        <v>1000</v>
      </c>
      <c r="C32" s="8" t="s">
        <v>31</v>
      </c>
      <c r="I32" s="6"/>
      <c r="K32" s="7"/>
      <c r="Q32" s="6"/>
    </row>
    <row r="33" spans="1:17" ht="15.75" customHeight="1" x14ac:dyDescent="0.15">
      <c r="A33" s="7" t="s">
        <v>32</v>
      </c>
      <c r="B33" s="26">
        <v>3.7</v>
      </c>
      <c r="C33" s="8" t="s">
        <v>33</v>
      </c>
      <c r="I33" s="6"/>
      <c r="K33" s="7"/>
      <c r="L33" s="15" t="s">
        <v>34</v>
      </c>
      <c r="M33" s="16">
        <f>M31/(E30*M26+F30*M27+G30*M28)</f>
        <v>11.794352132714144</v>
      </c>
      <c r="N33" s="15" t="s">
        <v>35</v>
      </c>
      <c r="Q33" s="6"/>
    </row>
    <row r="34" spans="1:17" ht="15.75" customHeight="1" x14ac:dyDescent="0.15">
      <c r="A34" s="7" t="s">
        <v>36</v>
      </c>
      <c r="B34" s="26">
        <v>0.95</v>
      </c>
      <c r="I34" s="6"/>
      <c r="K34" s="7"/>
      <c r="L34" s="15" t="s">
        <v>37</v>
      </c>
      <c r="M34" s="16">
        <f>M33*24</f>
        <v>283.06445118513943</v>
      </c>
      <c r="N34" s="15" t="s">
        <v>23</v>
      </c>
      <c r="Q34" s="6"/>
    </row>
    <row r="35" spans="1:17" ht="15.75" customHeight="1" x14ac:dyDescent="0.15">
      <c r="A35" s="17"/>
      <c r="B35" s="28"/>
      <c r="C35" s="18"/>
      <c r="D35" s="18"/>
      <c r="E35" s="18"/>
      <c r="F35" s="18"/>
      <c r="G35" s="18"/>
      <c r="H35" s="18"/>
      <c r="I35" s="19"/>
      <c r="K35" s="17"/>
      <c r="L35" s="18"/>
      <c r="M35" s="18"/>
      <c r="N35" s="18"/>
      <c r="O35" s="18"/>
      <c r="P35" s="18"/>
      <c r="Q35" s="19"/>
    </row>
    <row r="38" spans="1:17" ht="15.75" customHeight="1" x14ac:dyDescent="0.15">
      <c r="A38" s="5" t="s">
        <v>38</v>
      </c>
    </row>
    <row r="40" spans="1:17" ht="15.75" customHeight="1" x14ac:dyDescent="0.15">
      <c r="A40" s="29"/>
      <c r="B40" s="30"/>
      <c r="C40" s="29"/>
      <c r="D40" s="29"/>
    </row>
    <row r="41" spans="1:17" ht="15.75" customHeight="1" x14ac:dyDescent="0.15">
      <c r="A41" s="29"/>
      <c r="B41" s="30"/>
      <c r="C41" s="29"/>
      <c r="D41" s="29"/>
    </row>
    <row r="42" spans="1:17" ht="15.75" customHeight="1" x14ac:dyDescent="0.15">
      <c r="A42" s="31"/>
      <c r="B42" s="30"/>
      <c r="C42" s="29"/>
      <c r="D42" s="29"/>
    </row>
    <row r="43" spans="1:17" ht="15.75" customHeight="1" x14ac:dyDescent="0.15">
      <c r="A43" s="31"/>
      <c r="B43" s="30"/>
      <c r="C43" s="29"/>
      <c r="D43" s="29"/>
    </row>
    <row r="44" spans="1:17" ht="15.75" customHeight="1" x14ac:dyDescent="0.15">
      <c r="A44" s="31"/>
      <c r="B44" s="30"/>
      <c r="C44" s="29"/>
      <c r="D44" s="29"/>
    </row>
    <row r="45" spans="1:17" ht="15.75" customHeight="1" x14ac:dyDescent="0.15">
      <c r="A45" s="29"/>
      <c r="B45" s="30"/>
      <c r="C45" s="29"/>
      <c r="D45" s="29"/>
    </row>
    <row r="46" spans="1:17" ht="15.75" customHeight="1" x14ac:dyDescent="0.15">
      <c r="A46" s="29"/>
      <c r="B46" s="30"/>
      <c r="C46" s="29"/>
      <c r="D46" s="29"/>
    </row>
    <row r="47" spans="1:17" ht="15.75" customHeight="1" x14ac:dyDescent="0.15">
      <c r="A47" s="29"/>
      <c r="B47" s="30"/>
      <c r="C47" s="29"/>
      <c r="D47" s="29"/>
    </row>
    <row r="48" spans="1:17" ht="15.75" customHeight="1" x14ac:dyDescent="0.15">
      <c r="A48" s="29"/>
      <c r="B48" s="30"/>
      <c r="C48" s="29"/>
      <c r="D48" s="29"/>
    </row>
    <row r="49" spans="1:4" ht="15.75" customHeight="1" x14ac:dyDescent="0.15">
      <c r="A49" s="29"/>
      <c r="B49" s="30"/>
      <c r="C49" s="29"/>
      <c r="D49" s="29"/>
    </row>
    <row r="50" spans="1:4" ht="15.75" customHeight="1" x14ac:dyDescent="0.15">
      <c r="A50" s="29"/>
      <c r="B50" s="30"/>
      <c r="C50" s="29"/>
      <c r="D50" s="29"/>
    </row>
    <row r="51" spans="1:4" ht="15.75" customHeight="1" x14ac:dyDescent="0.15">
      <c r="A51" s="29"/>
      <c r="B51" s="30"/>
      <c r="C51" s="29"/>
      <c r="D51" s="29"/>
    </row>
    <row r="52" spans="1:4" ht="15.75" customHeight="1" x14ac:dyDescent="0.15">
      <c r="A52" s="29"/>
      <c r="B52" s="30"/>
      <c r="C52" s="29"/>
      <c r="D52" s="29"/>
    </row>
    <row r="53" spans="1:4" ht="15.75" customHeight="1" x14ac:dyDescent="0.15">
      <c r="A53" s="29"/>
      <c r="B53" s="30"/>
      <c r="C53" s="29"/>
      <c r="D53" s="29"/>
    </row>
    <row r="54" spans="1:4" ht="15.75" customHeight="1" x14ac:dyDescent="0.15">
      <c r="A54" s="29"/>
      <c r="B54" s="30"/>
      <c r="C54" s="29"/>
      <c r="D54" s="29"/>
    </row>
    <row r="55" spans="1:4" ht="15.75" customHeight="1" x14ac:dyDescent="0.15">
      <c r="A55" s="29"/>
      <c r="B55" s="30"/>
      <c r="C55" s="29"/>
      <c r="D55" s="29"/>
    </row>
    <row r="56" spans="1:4" ht="15.75" customHeight="1" x14ac:dyDescent="0.15">
      <c r="A56" s="29"/>
      <c r="B56" s="30"/>
      <c r="C56" s="29"/>
      <c r="D56" s="29"/>
    </row>
    <row r="57" spans="1:4" ht="15.75" customHeight="1" x14ac:dyDescent="0.15">
      <c r="A57" s="29"/>
      <c r="B57" s="30"/>
      <c r="C57" s="29"/>
      <c r="D57" s="29"/>
    </row>
    <row r="58" spans="1:4" ht="15.75" customHeight="1" x14ac:dyDescent="0.15">
      <c r="A58" s="29"/>
      <c r="B58" s="30"/>
      <c r="C58" s="29"/>
      <c r="D58" s="29"/>
    </row>
    <row r="59" spans="1:4" ht="15.75" customHeight="1" x14ac:dyDescent="0.15">
      <c r="A59" s="29"/>
      <c r="B59" s="30"/>
      <c r="C59" s="29"/>
      <c r="D59" s="29"/>
    </row>
    <row r="60" spans="1:4" ht="15.75" customHeight="1" x14ac:dyDescent="0.15">
      <c r="A60" s="29"/>
      <c r="B60" s="30"/>
      <c r="C60" s="29"/>
      <c r="D60" s="29"/>
    </row>
    <row r="61" spans="1:4" ht="15.75" customHeight="1" x14ac:dyDescent="0.15">
      <c r="A61" s="29"/>
      <c r="B61" s="30"/>
      <c r="C61" s="29"/>
      <c r="D61" s="29"/>
    </row>
    <row r="62" spans="1:4" ht="15.75" customHeight="1" x14ac:dyDescent="0.15">
      <c r="A62" s="29"/>
      <c r="B62" s="30"/>
      <c r="C62" s="29"/>
      <c r="D62" s="29"/>
    </row>
    <row r="63" spans="1:4" ht="15.75" customHeight="1" x14ac:dyDescent="0.15">
      <c r="A63" s="29"/>
      <c r="B63" s="30"/>
      <c r="C63" s="29"/>
      <c r="D63" s="29"/>
    </row>
    <row r="64" spans="1:4" ht="15.75" customHeight="1" x14ac:dyDescent="0.15">
      <c r="A64" s="29"/>
      <c r="B64" s="30"/>
      <c r="C64" s="29"/>
      <c r="D64" s="29"/>
    </row>
    <row r="65" spans="1:4" ht="15.75" customHeight="1" x14ac:dyDescent="0.15">
      <c r="A65" s="29"/>
      <c r="B65" s="30"/>
      <c r="C65" s="29"/>
      <c r="D65" s="29"/>
    </row>
    <row r="66" spans="1:4" ht="15.75" customHeight="1" x14ac:dyDescent="0.15">
      <c r="A66" s="29"/>
      <c r="B66" s="30"/>
      <c r="C66" s="29"/>
      <c r="D66" s="29"/>
    </row>
    <row r="67" spans="1:4" ht="15.75" customHeight="1" x14ac:dyDescent="0.15">
      <c r="A67" s="29"/>
      <c r="B67" s="30"/>
      <c r="C67" s="29"/>
      <c r="D67" s="29"/>
    </row>
    <row r="68" spans="1:4" ht="15.75" customHeight="1" x14ac:dyDescent="0.15">
      <c r="A68" s="29"/>
      <c r="B68" s="30"/>
      <c r="C68" s="29"/>
      <c r="D68" s="29"/>
    </row>
    <row r="69" spans="1:4" ht="15.75" customHeight="1" x14ac:dyDescent="0.15">
      <c r="A69" s="29"/>
      <c r="B69" s="30"/>
      <c r="C69" s="29"/>
      <c r="D69" s="29"/>
    </row>
    <row r="70" spans="1:4" ht="15.75" customHeight="1" x14ac:dyDescent="0.15">
      <c r="A70" s="29"/>
      <c r="B70" s="30"/>
      <c r="C70" s="29"/>
      <c r="D70" s="29"/>
    </row>
    <row r="71" spans="1:4" ht="15.75" customHeight="1" x14ac:dyDescent="0.15">
      <c r="A71" s="29"/>
      <c r="B71" s="30"/>
      <c r="C71" s="29"/>
      <c r="D71" s="29"/>
    </row>
    <row r="72" spans="1:4" ht="15.75" customHeight="1" x14ac:dyDescent="0.15">
      <c r="A72" s="29"/>
      <c r="B72" s="30"/>
      <c r="C72" s="29"/>
      <c r="D72" s="29"/>
    </row>
    <row r="73" spans="1:4" ht="15.75" customHeight="1" x14ac:dyDescent="0.15">
      <c r="A73" s="29"/>
      <c r="B73" s="30"/>
      <c r="C73" s="29"/>
      <c r="D73" s="29"/>
    </row>
    <row r="74" spans="1:4" ht="15.75" customHeight="1" x14ac:dyDescent="0.15">
      <c r="A74" s="29"/>
      <c r="B74" s="30"/>
      <c r="C74" s="29"/>
      <c r="D74" s="29"/>
    </row>
    <row r="75" spans="1:4" ht="15.75" customHeight="1" x14ac:dyDescent="0.15">
      <c r="A75" s="29"/>
      <c r="B75" s="30"/>
      <c r="C75" s="29"/>
      <c r="D75" s="29"/>
    </row>
    <row r="76" spans="1:4" ht="15.75" customHeight="1" x14ac:dyDescent="0.15">
      <c r="A76" s="29"/>
      <c r="B76" s="30"/>
      <c r="C76" s="29"/>
      <c r="D76" s="29"/>
    </row>
    <row r="77" spans="1:4" ht="15.75" customHeight="1" x14ac:dyDescent="0.15">
      <c r="A77" s="29"/>
      <c r="B77" s="30"/>
      <c r="C77" s="29"/>
      <c r="D77" s="29"/>
    </row>
    <row r="78" spans="1:4" ht="15.75" customHeight="1" x14ac:dyDescent="0.15">
      <c r="A78" s="29"/>
      <c r="B78" s="30"/>
      <c r="C78" s="29"/>
      <c r="D78" s="29"/>
    </row>
    <row r="79" spans="1:4" ht="15.75" customHeight="1" x14ac:dyDescent="0.15">
      <c r="A79" s="29"/>
      <c r="B79" s="30"/>
      <c r="C79" s="29"/>
      <c r="D79" s="29"/>
    </row>
    <row r="80" spans="1:4" ht="15.75" customHeight="1" x14ac:dyDescent="0.15">
      <c r="A80" s="29"/>
      <c r="B80" s="30"/>
      <c r="C80" s="29"/>
      <c r="D80" s="29"/>
    </row>
    <row r="81" spans="1:4" ht="15.75" customHeight="1" x14ac:dyDescent="0.15">
      <c r="A81" s="29"/>
      <c r="B81" s="30"/>
      <c r="C81" s="29"/>
      <c r="D81" s="29"/>
    </row>
    <row r="82" spans="1:4" ht="15.75" customHeight="1" x14ac:dyDescent="0.15">
      <c r="A82" s="29"/>
      <c r="B82" s="30"/>
      <c r="C82" s="29"/>
      <c r="D82" s="29"/>
    </row>
    <row r="83" spans="1:4" ht="15.75" customHeight="1" x14ac:dyDescent="0.15">
      <c r="A83" s="29"/>
      <c r="B83" s="30"/>
      <c r="C83" s="29"/>
      <c r="D83" s="29"/>
    </row>
    <row r="84" spans="1:4" ht="15.75" customHeight="1" x14ac:dyDescent="0.15">
      <c r="A84" s="29"/>
      <c r="B84" s="30"/>
      <c r="C84" s="29"/>
      <c r="D84" s="29"/>
    </row>
    <row r="85" spans="1:4" ht="15.75" customHeight="1" x14ac:dyDescent="0.15">
      <c r="A85" s="29"/>
      <c r="B85" s="30"/>
      <c r="C85" s="29"/>
      <c r="D85" s="29"/>
    </row>
    <row r="86" spans="1:4" ht="15.75" customHeight="1" x14ac:dyDescent="0.15">
      <c r="A86" s="29"/>
      <c r="B86" s="30"/>
      <c r="C86" s="29"/>
      <c r="D86" s="29"/>
    </row>
    <row r="87" spans="1:4" ht="15.75" customHeight="1" x14ac:dyDescent="0.15">
      <c r="A87" s="29"/>
      <c r="B87" s="30"/>
      <c r="C87" s="29"/>
      <c r="D87" s="2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634B8-6992-1A4F-BB94-13A026570E33}">
  <sheetPr>
    <tabColor theme="9" tint="0.59999389629810485"/>
    <outlinePr summaryBelow="0" summaryRight="0"/>
  </sheetPr>
  <dimension ref="A50:W118"/>
  <sheetViews>
    <sheetView topLeftCell="A23" workbookViewId="0">
      <selection activeCell="P44" sqref="P44"/>
    </sheetView>
  </sheetViews>
  <sheetFormatPr baseColWidth="10" defaultColWidth="12.6640625" defaultRowHeight="15.75" customHeight="1" x14ac:dyDescent="0.15"/>
  <sheetData>
    <row r="50" spans="1:23" ht="15.75" customHeight="1" x14ac:dyDescent="0.15">
      <c r="A50" s="8" t="s">
        <v>39</v>
      </c>
    </row>
    <row r="52" spans="1:23" ht="15.75" customHeight="1" x14ac:dyDescent="0.15">
      <c r="A52" s="8" t="str">
        <f>'System Parameters Device'!A3</f>
        <v>System Parameters (defined by hardware)</v>
      </c>
      <c r="B52" s="8">
        <f>'System Parameters Device'!B3</f>
        <v>0</v>
      </c>
      <c r="C52" s="8">
        <f>'System Parameters Device'!C3</f>
        <v>0</v>
      </c>
      <c r="D52" s="8">
        <f>'System Parameters Device'!D3</f>
        <v>0</v>
      </c>
      <c r="T52" s="8" t="str">
        <f>'System Parameters Device'!E3</f>
        <v>Profiles (usage of each component mode - defined by software and usage)</v>
      </c>
      <c r="U52" s="8">
        <f>'System Parameters Device'!F3</f>
        <v>0</v>
      </c>
      <c r="V52" s="8">
        <f>'System Parameters Device'!G3</f>
        <v>0</v>
      </c>
      <c r="W52" s="8">
        <f>'System Parameters Device'!H3</f>
        <v>0</v>
      </c>
    </row>
    <row r="53" spans="1:23" ht="13" x14ac:dyDescent="0.15">
      <c r="A53" s="8">
        <f>'System Parameters Device'!A4</f>
        <v>0</v>
      </c>
      <c r="B53" s="8" t="str">
        <f>'System Parameters Device'!B4</f>
        <v>form the datasheets</v>
      </c>
      <c r="C53" s="8">
        <f>'System Parameters Device'!C4</f>
        <v>0</v>
      </c>
      <c r="D53" s="8">
        <f>'System Parameters Device'!D4</f>
        <v>0</v>
      </c>
      <c r="T53" s="8">
        <f>'System Parameters Device'!E4</f>
        <v>0</v>
      </c>
      <c r="U53" s="8">
        <f>'System Parameters Device'!F4</f>
        <v>0</v>
      </c>
      <c r="V53" s="8">
        <f>'System Parameters Device'!G4</f>
        <v>0</v>
      </c>
      <c r="W53" s="8">
        <f>'System Parameters Device'!H4</f>
        <v>0</v>
      </c>
    </row>
    <row r="54" spans="1:23" ht="13" x14ac:dyDescent="0.15">
      <c r="A54" s="8">
        <f>'System Parameters Device'!A5</f>
        <v>0</v>
      </c>
      <c r="B54" s="8">
        <f>'System Parameters Device'!B5</f>
        <v>0</v>
      </c>
      <c r="C54" s="8">
        <f>'System Parameters Device'!C5</f>
        <v>0</v>
      </c>
      <c r="D54" s="8">
        <f>'System Parameters Device'!D5</f>
        <v>0</v>
      </c>
      <c r="T54" s="8" t="str">
        <f>'System Parameters Device'!E5</f>
        <v>"off"</v>
      </c>
      <c r="U54" s="8" t="str">
        <f>'System Parameters Device'!F5</f>
        <v>"sensing"</v>
      </c>
      <c r="V54" s="8" t="str">
        <f>'System Parameters Device'!G5</f>
        <v>"interactive"</v>
      </c>
      <c r="W54" s="8">
        <f>'System Parameters Device'!H5</f>
        <v>0</v>
      </c>
    </row>
    <row r="55" spans="1:23" ht="13" x14ac:dyDescent="0.15">
      <c r="A55" s="8" t="str">
        <f>'System Parameters Device'!A6</f>
        <v>Processor</v>
      </c>
      <c r="B55" s="8">
        <f>'System Parameters Device'!B6</f>
        <v>0</v>
      </c>
      <c r="C55" s="8">
        <f>'System Parameters Device'!C6</f>
        <v>0</v>
      </c>
      <c r="D55" s="8">
        <f>'System Parameters Device'!D6</f>
        <v>0</v>
      </c>
      <c r="T55" s="8">
        <f>'System Parameters Device'!E6</f>
        <v>0</v>
      </c>
      <c r="U55" s="8">
        <f>'System Parameters Device'!F6</f>
        <v>0</v>
      </c>
      <c r="V55" s="8">
        <f>'System Parameters Device'!G6</f>
        <v>0</v>
      </c>
      <c r="W55" s="8">
        <f>'System Parameters Device'!H6</f>
        <v>0</v>
      </c>
    </row>
    <row r="56" spans="1:23" ht="13" x14ac:dyDescent="0.15">
      <c r="A56" s="8" t="str">
        <f>'System Parameters Device'!A7</f>
        <v>Active</v>
      </c>
      <c r="B56" s="11">
        <f>'System Parameters Device'!B7</f>
        <v>89.1</v>
      </c>
      <c r="C56" s="8" t="str">
        <f>'System Parameters Device'!C7</f>
        <v>mW</v>
      </c>
      <c r="D56" s="8">
        <f>$B56*0.9</f>
        <v>80.19</v>
      </c>
      <c r="E56" s="11">
        <f t="shared" ref="E56:O58" si="0">$B56</f>
        <v>89.1</v>
      </c>
      <c r="F56" s="11">
        <f t="shared" si="0"/>
        <v>89.1</v>
      </c>
      <c r="G56" s="11">
        <f t="shared" si="0"/>
        <v>89.1</v>
      </c>
      <c r="H56" s="11">
        <f t="shared" si="0"/>
        <v>89.1</v>
      </c>
      <c r="I56" s="11">
        <f t="shared" si="0"/>
        <v>89.1</v>
      </c>
      <c r="J56" s="11">
        <f t="shared" si="0"/>
        <v>89.1</v>
      </c>
      <c r="K56" s="11">
        <f t="shared" si="0"/>
        <v>89.1</v>
      </c>
      <c r="L56" s="11">
        <f t="shared" si="0"/>
        <v>89.1</v>
      </c>
      <c r="M56" s="11">
        <f t="shared" si="0"/>
        <v>89.1</v>
      </c>
      <c r="N56" s="11">
        <f t="shared" si="0"/>
        <v>89.1</v>
      </c>
      <c r="O56" s="11">
        <f t="shared" si="0"/>
        <v>89.1</v>
      </c>
      <c r="T56" s="20">
        <f>'System Parameters Device'!E7</f>
        <v>0</v>
      </c>
      <c r="U56" s="20">
        <f>'System Parameters Device'!F7</f>
        <v>7.0000000000000007E-2</v>
      </c>
      <c r="V56" s="20">
        <f>'System Parameters Device'!G7</f>
        <v>0</v>
      </c>
      <c r="W56" s="8">
        <f>'System Parameters Device'!H7</f>
        <v>0</v>
      </c>
    </row>
    <row r="57" spans="1:23" ht="13" x14ac:dyDescent="0.15">
      <c r="A57" s="8" t="str">
        <f>'System Parameters Device'!A8</f>
        <v>Idle</v>
      </c>
      <c r="B57" s="11">
        <f>'System Parameters Device'!B8</f>
        <v>33</v>
      </c>
      <c r="C57" s="8" t="str">
        <f>'System Parameters Device'!C8</f>
        <v>mW</v>
      </c>
      <c r="D57" s="11">
        <f t="shared" ref="D57:O76" si="1">$B57</f>
        <v>33</v>
      </c>
      <c r="E57" s="8">
        <f>$B57*0.9</f>
        <v>29.7</v>
      </c>
      <c r="F57" s="11">
        <f t="shared" si="0"/>
        <v>33</v>
      </c>
      <c r="G57" s="11">
        <f t="shared" si="0"/>
        <v>33</v>
      </c>
      <c r="H57" s="11">
        <f t="shared" si="0"/>
        <v>33</v>
      </c>
      <c r="I57" s="11">
        <f t="shared" si="0"/>
        <v>33</v>
      </c>
      <c r="J57" s="11">
        <f t="shared" si="0"/>
        <v>33</v>
      </c>
      <c r="K57" s="11">
        <f t="shared" si="0"/>
        <v>33</v>
      </c>
      <c r="L57" s="11">
        <f t="shared" si="0"/>
        <v>33</v>
      </c>
      <c r="M57" s="11">
        <f t="shared" si="0"/>
        <v>33</v>
      </c>
      <c r="N57" s="11">
        <f t="shared" si="0"/>
        <v>33</v>
      </c>
      <c r="O57" s="11">
        <f t="shared" si="0"/>
        <v>33</v>
      </c>
      <c r="T57" s="20">
        <f>'System Parameters Device'!E8</f>
        <v>0</v>
      </c>
      <c r="U57" s="20">
        <f>'System Parameters Device'!F8</f>
        <v>0.93</v>
      </c>
      <c r="V57" s="20">
        <f>'System Parameters Device'!G8</f>
        <v>0</v>
      </c>
      <c r="W57" s="8">
        <f>'System Parameters Device'!H8</f>
        <v>0</v>
      </c>
    </row>
    <row r="58" spans="1:23" ht="13" x14ac:dyDescent="0.15">
      <c r="A58" s="8" t="str">
        <f>'System Parameters Device'!A9</f>
        <v>Sleep</v>
      </c>
      <c r="B58" s="11">
        <f>'System Parameters Device'!B9</f>
        <v>0.14499999999999999</v>
      </c>
      <c r="C58" s="8" t="str">
        <f>'System Parameters Device'!C9</f>
        <v>mW</v>
      </c>
      <c r="D58" s="11">
        <f t="shared" si="1"/>
        <v>0.14499999999999999</v>
      </c>
      <c r="E58" s="11">
        <f t="shared" si="1"/>
        <v>0.14499999999999999</v>
      </c>
      <c r="F58" s="8">
        <f>$B58*0.9</f>
        <v>0.1305</v>
      </c>
      <c r="G58" s="11">
        <f t="shared" si="0"/>
        <v>0.14499999999999999</v>
      </c>
      <c r="H58" s="11">
        <f t="shared" si="0"/>
        <v>0.14499999999999999</v>
      </c>
      <c r="I58" s="11">
        <f t="shared" si="0"/>
        <v>0.14499999999999999</v>
      </c>
      <c r="J58" s="11">
        <f t="shared" si="0"/>
        <v>0.14499999999999999</v>
      </c>
      <c r="K58" s="11">
        <f t="shared" si="0"/>
        <v>0.14499999999999999</v>
      </c>
      <c r="L58" s="11">
        <f t="shared" si="0"/>
        <v>0.14499999999999999</v>
      </c>
      <c r="M58" s="11">
        <f t="shared" si="0"/>
        <v>0.14499999999999999</v>
      </c>
      <c r="N58" s="11">
        <f t="shared" si="0"/>
        <v>0.14499999999999999</v>
      </c>
      <c r="O58" s="11">
        <f t="shared" si="0"/>
        <v>0.14499999999999999</v>
      </c>
      <c r="T58" s="20">
        <f>'System Parameters Device'!E9</f>
        <v>1</v>
      </c>
      <c r="U58" s="20">
        <f>'System Parameters Device'!F9</f>
        <v>0</v>
      </c>
      <c r="V58" s="20">
        <f>'System Parameters Device'!G9</f>
        <v>0</v>
      </c>
      <c r="W58" s="8">
        <f>'System Parameters Device'!H9</f>
        <v>0</v>
      </c>
    </row>
    <row r="59" spans="1:23" ht="13" x14ac:dyDescent="0.15">
      <c r="A59" s="8">
        <f>'System Parameters Device'!A10</f>
        <v>0</v>
      </c>
      <c r="B59" s="8">
        <f>'System Parameters Device'!B10</f>
        <v>0</v>
      </c>
      <c r="C59" s="8">
        <f>'System Parameters Device'!C10</f>
        <v>0</v>
      </c>
      <c r="D59" s="8">
        <f t="shared" si="1"/>
        <v>0</v>
      </c>
      <c r="E59" s="8">
        <f t="shared" si="1"/>
        <v>0</v>
      </c>
      <c r="F59" s="8">
        <f t="shared" si="1"/>
        <v>0</v>
      </c>
      <c r="G59" s="8">
        <f t="shared" si="1"/>
        <v>0</v>
      </c>
      <c r="H59" s="8">
        <f t="shared" si="1"/>
        <v>0</v>
      </c>
      <c r="I59" s="8">
        <f t="shared" si="1"/>
        <v>0</v>
      </c>
      <c r="J59" s="8">
        <f t="shared" si="1"/>
        <v>0</v>
      </c>
      <c r="K59" s="8">
        <f t="shared" si="1"/>
        <v>0</v>
      </c>
      <c r="L59" s="8">
        <f t="shared" si="1"/>
        <v>0</v>
      </c>
      <c r="M59" s="8">
        <f t="shared" si="1"/>
        <v>0</v>
      </c>
      <c r="N59" s="8">
        <f t="shared" si="1"/>
        <v>0</v>
      </c>
      <c r="O59" s="8">
        <f t="shared" si="1"/>
        <v>0</v>
      </c>
      <c r="T59" s="8">
        <f>'System Parameters Device'!E10</f>
        <v>0</v>
      </c>
      <c r="U59" s="8">
        <f>'System Parameters Device'!F10</f>
        <v>0</v>
      </c>
      <c r="V59" s="8">
        <f>'System Parameters Device'!G10</f>
        <v>0</v>
      </c>
      <c r="W59" s="8">
        <f>'System Parameters Device'!H10</f>
        <v>0</v>
      </c>
    </row>
    <row r="60" spans="1:23" ht="13" x14ac:dyDescent="0.15">
      <c r="A60" s="8" t="str">
        <f>'System Parameters Device'!A11</f>
        <v>LED</v>
      </c>
      <c r="B60" s="8">
        <f>'System Parameters Device'!B11</f>
        <v>0</v>
      </c>
      <c r="C60" s="8">
        <f>'System Parameters Device'!C11</f>
        <v>0</v>
      </c>
      <c r="D60" s="8">
        <f t="shared" si="1"/>
        <v>0</v>
      </c>
      <c r="E60" s="8">
        <f t="shared" si="1"/>
        <v>0</v>
      </c>
      <c r="F60" s="8">
        <f t="shared" si="1"/>
        <v>0</v>
      </c>
      <c r="G60" s="8">
        <f t="shared" si="1"/>
        <v>0</v>
      </c>
      <c r="H60" s="8">
        <f t="shared" si="1"/>
        <v>0</v>
      </c>
      <c r="I60" s="8">
        <f t="shared" si="1"/>
        <v>0</v>
      </c>
      <c r="J60" s="8">
        <f t="shared" si="1"/>
        <v>0</v>
      </c>
      <c r="K60" s="8">
        <f t="shared" si="1"/>
        <v>0</v>
      </c>
      <c r="L60" s="8">
        <f t="shared" si="1"/>
        <v>0</v>
      </c>
      <c r="M60" s="8">
        <f t="shared" si="1"/>
        <v>0</v>
      </c>
      <c r="N60" s="8">
        <f t="shared" si="1"/>
        <v>0</v>
      </c>
      <c r="O60" s="8">
        <f t="shared" si="1"/>
        <v>0</v>
      </c>
      <c r="T60" s="8">
        <f>'System Parameters Device'!E11</f>
        <v>0</v>
      </c>
      <c r="U60" s="8">
        <f>'System Parameters Device'!F11</f>
        <v>0</v>
      </c>
      <c r="V60" s="8">
        <f>'System Parameters Device'!G11</f>
        <v>0</v>
      </c>
      <c r="W60" s="8">
        <f>'System Parameters Device'!H11</f>
        <v>0</v>
      </c>
    </row>
    <row r="61" spans="1:23" ht="13" x14ac:dyDescent="0.15">
      <c r="A61" s="8" t="str">
        <f>'System Parameters Device'!A12</f>
        <v>On</v>
      </c>
      <c r="B61" s="11">
        <f>'System Parameters Device'!B12</f>
        <v>0</v>
      </c>
      <c r="C61" s="8" t="str">
        <f>'System Parameters Device'!C12</f>
        <v>mW</v>
      </c>
      <c r="D61" s="11">
        <f t="shared" si="1"/>
        <v>0</v>
      </c>
      <c r="E61" s="11">
        <f t="shared" si="1"/>
        <v>0</v>
      </c>
      <c r="F61" s="11">
        <f t="shared" si="1"/>
        <v>0</v>
      </c>
      <c r="G61" s="8">
        <f>$B61*0.9</f>
        <v>0</v>
      </c>
      <c r="H61" s="11">
        <f t="shared" si="1"/>
        <v>0</v>
      </c>
      <c r="I61" s="11">
        <f t="shared" si="1"/>
        <v>0</v>
      </c>
      <c r="J61" s="11">
        <f t="shared" si="1"/>
        <v>0</v>
      </c>
      <c r="K61" s="11">
        <f t="shared" si="1"/>
        <v>0</v>
      </c>
      <c r="L61" s="11">
        <f t="shared" si="1"/>
        <v>0</v>
      </c>
      <c r="M61" s="11">
        <f t="shared" si="1"/>
        <v>0</v>
      </c>
      <c r="N61" s="11">
        <f t="shared" si="1"/>
        <v>0</v>
      </c>
      <c r="O61" s="11">
        <f t="shared" si="1"/>
        <v>0</v>
      </c>
      <c r="T61" s="20">
        <f>'System Parameters Device'!E12</f>
        <v>0</v>
      </c>
      <c r="U61" s="20">
        <f>'System Parameters Device'!F12</f>
        <v>0</v>
      </c>
      <c r="V61" s="20">
        <f>'System Parameters Device'!G12</f>
        <v>0</v>
      </c>
      <c r="W61" s="8">
        <f>'System Parameters Device'!H12</f>
        <v>0</v>
      </c>
    </row>
    <row r="62" spans="1:23" ht="13" x14ac:dyDescent="0.15">
      <c r="A62" s="8">
        <f>'System Parameters Device'!A13</f>
        <v>0</v>
      </c>
      <c r="B62" s="11">
        <f>'System Parameters Device'!B13</f>
        <v>0</v>
      </c>
      <c r="C62" s="8">
        <f>'System Parameters Device'!C13</f>
        <v>0</v>
      </c>
      <c r="D62" s="11">
        <f t="shared" si="1"/>
        <v>0</v>
      </c>
      <c r="E62" s="11">
        <f t="shared" si="1"/>
        <v>0</v>
      </c>
      <c r="F62" s="11">
        <f t="shared" si="1"/>
        <v>0</v>
      </c>
      <c r="G62" s="11">
        <f t="shared" si="1"/>
        <v>0</v>
      </c>
      <c r="H62" s="11">
        <f t="shared" si="1"/>
        <v>0</v>
      </c>
      <c r="I62" s="11">
        <f t="shared" si="1"/>
        <v>0</v>
      </c>
      <c r="J62" s="11">
        <f t="shared" si="1"/>
        <v>0</v>
      </c>
      <c r="K62" s="11">
        <f t="shared" si="1"/>
        <v>0</v>
      </c>
      <c r="L62" s="11">
        <f t="shared" si="1"/>
        <v>0</v>
      </c>
      <c r="M62" s="11">
        <f t="shared" si="1"/>
        <v>0</v>
      </c>
      <c r="N62" s="11">
        <f t="shared" si="1"/>
        <v>0</v>
      </c>
      <c r="O62" s="11">
        <f t="shared" si="1"/>
        <v>0</v>
      </c>
      <c r="T62" s="8">
        <f>'System Parameters Device'!E13</f>
        <v>0</v>
      </c>
      <c r="U62" s="8">
        <f>'System Parameters Device'!F13</f>
        <v>0</v>
      </c>
      <c r="V62" s="8">
        <f>'System Parameters Device'!G13</f>
        <v>0</v>
      </c>
      <c r="W62" s="8">
        <f>'System Parameters Device'!H13</f>
        <v>0</v>
      </c>
    </row>
    <row r="63" spans="1:23" ht="13" x14ac:dyDescent="0.15">
      <c r="A63" s="8">
        <f>'System Parameters Device'!A14</f>
        <v>0</v>
      </c>
      <c r="B63" s="11">
        <f>'System Parameters Device'!B14</f>
        <v>0</v>
      </c>
      <c r="C63" s="8">
        <f>'System Parameters Device'!C14</f>
        <v>0</v>
      </c>
      <c r="D63" s="11">
        <f t="shared" si="1"/>
        <v>0</v>
      </c>
      <c r="E63" s="11">
        <f t="shared" si="1"/>
        <v>0</v>
      </c>
      <c r="F63" s="11">
        <f t="shared" si="1"/>
        <v>0</v>
      </c>
      <c r="G63" s="11">
        <f t="shared" si="1"/>
        <v>0</v>
      </c>
      <c r="H63" s="11">
        <f t="shared" si="1"/>
        <v>0</v>
      </c>
      <c r="I63" s="11">
        <f t="shared" si="1"/>
        <v>0</v>
      </c>
      <c r="J63" s="11">
        <f t="shared" si="1"/>
        <v>0</v>
      </c>
      <c r="K63" s="11">
        <f t="shared" si="1"/>
        <v>0</v>
      </c>
      <c r="L63" s="11">
        <f t="shared" si="1"/>
        <v>0</v>
      </c>
      <c r="M63" s="11">
        <f t="shared" si="1"/>
        <v>0</v>
      </c>
      <c r="N63" s="11">
        <f t="shared" si="1"/>
        <v>0</v>
      </c>
      <c r="O63" s="11">
        <f t="shared" si="1"/>
        <v>0</v>
      </c>
      <c r="T63" s="8">
        <f>'System Parameters Device'!E14</f>
        <v>0</v>
      </c>
      <c r="U63" s="8">
        <f>'System Parameters Device'!F14</f>
        <v>0</v>
      </c>
      <c r="V63" s="8">
        <f>'System Parameters Device'!G14</f>
        <v>0</v>
      </c>
      <c r="W63" s="8">
        <f>'System Parameters Device'!H14</f>
        <v>0</v>
      </c>
    </row>
    <row r="64" spans="1:23" ht="13" x14ac:dyDescent="0.15">
      <c r="A64" s="8" t="str">
        <f>'System Parameters Device'!A15</f>
        <v>Sensor</v>
      </c>
      <c r="B64" s="11">
        <f>'System Parameters Device'!B15</f>
        <v>0</v>
      </c>
      <c r="C64" s="8">
        <f>'System Parameters Device'!C15</f>
        <v>0</v>
      </c>
      <c r="D64" s="11">
        <f t="shared" si="1"/>
        <v>0</v>
      </c>
      <c r="E64" s="11">
        <f t="shared" si="1"/>
        <v>0</v>
      </c>
      <c r="F64" s="11">
        <f t="shared" si="1"/>
        <v>0</v>
      </c>
      <c r="G64" s="11">
        <f t="shared" si="1"/>
        <v>0</v>
      </c>
      <c r="H64" s="11">
        <f t="shared" si="1"/>
        <v>0</v>
      </c>
      <c r="I64" s="11">
        <f t="shared" si="1"/>
        <v>0</v>
      </c>
      <c r="J64" s="11">
        <f t="shared" si="1"/>
        <v>0</v>
      </c>
      <c r="K64" s="11">
        <f t="shared" si="1"/>
        <v>0</v>
      </c>
      <c r="L64" s="11">
        <f t="shared" si="1"/>
        <v>0</v>
      </c>
      <c r="M64" s="11">
        <f t="shared" si="1"/>
        <v>0</v>
      </c>
      <c r="N64" s="11">
        <f t="shared" si="1"/>
        <v>0</v>
      </c>
      <c r="O64" s="11">
        <f t="shared" si="1"/>
        <v>0</v>
      </c>
      <c r="T64" s="8">
        <f>'System Parameters Device'!E15</f>
        <v>0</v>
      </c>
      <c r="U64" s="8">
        <f>'System Parameters Device'!F15</f>
        <v>0</v>
      </c>
      <c r="V64" s="8">
        <f>'System Parameters Device'!G15</f>
        <v>0</v>
      </c>
      <c r="W64" s="8">
        <f>'System Parameters Device'!H15</f>
        <v>0</v>
      </c>
    </row>
    <row r="65" spans="1:23" ht="13" x14ac:dyDescent="0.15">
      <c r="A65" s="8" t="str">
        <f>'System Parameters Device'!A16</f>
        <v>On</v>
      </c>
      <c r="B65" s="11">
        <f>'System Parameters Device'!B16</f>
        <v>3.5999999999999997E-2</v>
      </c>
      <c r="C65" s="8" t="str">
        <f>'System Parameters Device'!C16</f>
        <v>mW</v>
      </c>
      <c r="D65" s="11">
        <f t="shared" si="1"/>
        <v>3.5999999999999997E-2</v>
      </c>
      <c r="E65" s="11">
        <f t="shared" si="1"/>
        <v>3.5999999999999997E-2</v>
      </c>
      <c r="F65" s="11">
        <f t="shared" si="1"/>
        <v>3.5999999999999997E-2</v>
      </c>
      <c r="G65" s="11">
        <f t="shared" si="1"/>
        <v>3.5999999999999997E-2</v>
      </c>
      <c r="H65" s="8">
        <f>$B65*0.9</f>
        <v>3.2399999999999998E-2</v>
      </c>
      <c r="I65" s="11">
        <f t="shared" si="1"/>
        <v>3.5999999999999997E-2</v>
      </c>
      <c r="J65" s="11">
        <f t="shared" si="1"/>
        <v>3.5999999999999997E-2</v>
      </c>
      <c r="K65" s="11">
        <f t="shared" si="1"/>
        <v>3.5999999999999997E-2</v>
      </c>
      <c r="L65" s="11">
        <f t="shared" si="1"/>
        <v>3.5999999999999997E-2</v>
      </c>
      <c r="M65" s="11">
        <f t="shared" si="1"/>
        <v>3.5999999999999997E-2</v>
      </c>
      <c r="N65" s="11">
        <f t="shared" si="1"/>
        <v>3.5999999999999997E-2</v>
      </c>
      <c r="O65" s="11">
        <f t="shared" si="1"/>
        <v>3.5999999999999997E-2</v>
      </c>
      <c r="T65" s="20">
        <f>'System Parameters Device'!E16</f>
        <v>0</v>
      </c>
      <c r="U65" s="20">
        <f>'System Parameters Device'!F16</f>
        <v>1</v>
      </c>
      <c r="V65" s="20">
        <f>'System Parameters Device'!G16</f>
        <v>0</v>
      </c>
      <c r="W65" s="8">
        <f>'System Parameters Device'!H16</f>
        <v>0</v>
      </c>
    </row>
    <row r="66" spans="1:23" ht="13" x14ac:dyDescent="0.15">
      <c r="A66" s="8" t="str">
        <f>'System Parameters Device'!A17</f>
        <v>Idle</v>
      </c>
      <c r="B66" s="11">
        <f>'System Parameters Device'!B17</f>
        <v>0.02</v>
      </c>
      <c r="C66" s="8" t="str">
        <f>'System Parameters Device'!C17</f>
        <v>mW</v>
      </c>
      <c r="D66" s="11">
        <f t="shared" si="1"/>
        <v>0.02</v>
      </c>
      <c r="E66" s="11">
        <f t="shared" si="1"/>
        <v>0.02</v>
      </c>
      <c r="F66" s="11">
        <f t="shared" si="1"/>
        <v>0.02</v>
      </c>
      <c r="G66" s="11">
        <f t="shared" si="1"/>
        <v>0.02</v>
      </c>
      <c r="H66" s="11">
        <f t="shared" si="1"/>
        <v>0.02</v>
      </c>
      <c r="I66" s="8">
        <f>$B66*0.9</f>
        <v>1.8000000000000002E-2</v>
      </c>
      <c r="J66" s="11">
        <f t="shared" si="1"/>
        <v>0.02</v>
      </c>
      <c r="K66" s="11">
        <f t="shared" si="1"/>
        <v>0.02</v>
      </c>
      <c r="L66" s="11">
        <f t="shared" si="1"/>
        <v>0.02</v>
      </c>
      <c r="M66" s="11">
        <f t="shared" si="1"/>
        <v>0.02</v>
      </c>
      <c r="N66" s="11">
        <f t="shared" si="1"/>
        <v>0.02</v>
      </c>
      <c r="O66" s="11">
        <f t="shared" si="1"/>
        <v>0.02</v>
      </c>
      <c r="T66" s="20">
        <f>'System Parameters Device'!E17</f>
        <v>0</v>
      </c>
      <c r="U66" s="20">
        <f>'System Parameters Device'!F17</f>
        <v>0</v>
      </c>
      <c r="V66" s="20">
        <f>'System Parameters Device'!G17</f>
        <v>0</v>
      </c>
      <c r="W66" s="8">
        <f>'System Parameters Device'!H17</f>
        <v>0</v>
      </c>
    </row>
    <row r="67" spans="1:23" ht="13" x14ac:dyDescent="0.15">
      <c r="A67" s="8" t="str">
        <f>'System Parameters Device'!A18</f>
        <v>Off</v>
      </c>
      <c r="B67" s="11">
        <f>'System Parameters Device'!B18</f>
        <v>0</v>
      </c>
      <c r="C67" s="8" t="str">
        <f>'System Parameters Device'!C18</f>
        <v>mW</v>
      </c>
      <c r="D67" s="11">
        <f t="shared" si="1"/>
        <v>0</v>
      </c>
      <c r="E67" s="11">
        <f t="shared" si="1"/>
        <v>0</v>
      </c>
      <c r="F67" s="11">
        <f t="shared" si="1"/>
        <v>0</v>
      </c>
      <c r="G67" s="11">
        <f t="shared" si="1"/>
        <v>0</v>
      </c>
      <c r="H67" s="11">
        <f t="shared" si="1"/>
        <v>0</v>
      </c>
      <c r="I67" s="11">
        <f t="shared" si="1"/>
        <v>0</v>
      </c>
      <c r="J67" s="8">
        <f>$B67*0.9</f>
        <v>0</v>
      </c>
      <c r="K67" s="11">
        <f t="shared" si="1"/>
        <v>0</v>
      </c>
      <c r="L67" s="11">
        <f t="shared" si="1"/>
        <v>0</v>
      </c>
      <c r="M67" s="11">
        <f t="shared" si="1"/>
        <v>0</v>
      </c>
      <c r="N67" s="11">
        <f t="shared" si="1"/>
        <v>0</v>
      </c>
      <c r="O67" s="11">
        <f t="shared" si="1"/>
        <v>0</v>
      </c>
      <c r="T67" s="20">
        <f>'System Parameters Device'!E18</f>
        <v>1</v>
      </c>
      <c r="U67" s="20">
        <f>'System Parameters Device'!F18</f>
        <v>0</v>
      </c>
      <c r="V67" s="20">
        <f>'System Parameters Device'!G18</f>
        <v>0</v>
      </c>
      <c r="W67" s="8">
        <f>'System Parameters Device'!H18</f>
        <v>0</v>
      </c>
    </row>
    <row r="68" spans="1:23" ht="13" x14ac:dyDescent="0.15">
      <c r="A68" s="8">
        <f>'System Parameters Device'!A19</f>
        <v>0</v>
      </c>
      <c r="B68" s="11">
        <f>'System Parameters Device'!B19</f>
        <v>0</v>
      </c>
      <c r="C68" s="8">
        <f>'System Parameters Device'!C19</f>
        <v>0</v>
      </c>
      <c r="D68" s="11">
        <f t="shared" si="1"/>
        <v>0</v>
      </c>
      <c r="E68" s="11">
        <f t="shared" si="1"/>
        <v>0</v>
      </c>
      <c r="F68" s="11">
        <f t="shared" si="1"/>
        <v>0</v>
      </c>
      <c r="G68" s="11">
        <f t="shared" si="1"/>
        <v>0</v>
      </c>
      <c r="H68" s="11">
        <f t="shared" si="1"/>
        <v>0</v>
      </c>
      <c r="I68" s="11">
        <f t="shared" si="1"/>
        <v>0</v>
      </c>
      <c r="J68" s="11">
        <f t="shared" si="1"/>
        <v>0</v>
      </c>
      <c r="K68" s="11">
        <f t="shared" si="1"/>
        <v>0</v>
      </c>
      <c r="L68" s="11">
        <f t="shared" si="1"/>
        <v>0</v>
      </c>
      <c r="M68" s="11">
        <f t="shared" si="1"/>
        <v>0</v>
      </c>
      <c r="N68" s="11">
        <f t="shared" si="1"/>
        <v>0</v>
      </c>
      <c r="O68" s="11">
        <f t="shared" si="1"/>
        <v>0</v>
      </c>
      <c r="T68" s="8">
        <f>'System Parameters Device'!E19</f>
        <v>0</v>
      </c>
      <c r="U68" s="8">
        <f>'System Parameters Device'!F19</f>
        <v>0</v>
      </c>
      <c r="V68" s="8">
        <f>'System Parameters Device'!G19</f>
        <v>0</v>
      </c>
      <c r="W68" s="8">
        <f>'System Parameters Device'!H19</f>
        <v>0</v>
      </c>
    </row>
    <row r="69" spans="1:23" ht="13" x14ac:dyDescent="0.15">
      <c r="A69" s="8" t="str">
        <f>'System Parameters Device'!A20</f>
        <v>Display</v>
      </c>
      <c r="B69" s="11">
        <f>'System Parameters Device'!B20</f>
        <v>0</v>
      </c>
      <c r="C69" s="8">
        <f>'System Parameters Device'!C20</f>
        <v>0</v>
      </c>
      <c r="D69" s="11">
        <f t="shared" si="1"/>
        <v>0</v>
      </c>
      <c r="E69" s="11">
        <f t="shared" si="1"/>
        <v>0</v>
      </c>
      <c r="F69" s="11">
        <f t="shared" si="1"/>
        <v>0</v>
      </c>
      <c r="G69" s="11">
        <f t="shared" si="1"/>
        <v>0</v>
      </c>
      <c r="H69" s="11">
        <f t="shared" si="1"/>
        <v>0</v>
      </c>
      <c r="I69" s="11">
        <f t="shared" si="1"/>
        <v>0</v>
      </c>
      <c r="J69" s="11">
        <f t="shared" si="1"/>
        <v>0</v>
      </c>
      <c r="K69" s="11">
        <f t="shared" si="1"/>
        <v>0</v>
      </c>
      <c r="L69" s="11">
        <f t="shared" si="1"/>
        <v>0</v>
      </c>
      <c r="M69" s="11">
        <f t="shared" si="1"/>
        <v>0</v>
      </c>
      <c r="N69" s="11">
        <f t="shared" si="1"/>
        <v>0</v>
      </c>
      <c r="O69" s="11">
        <f t="shared" si="1"/>
        <v>0</v>
      </c>
      <c r="T69" s="8">
        <f>'System Parameters Device'!E20</f>
        <v>0</v>
      </c>
      <c r="U69" s="8">
        <f>'System Parameters Device'!F20</f>
        <v>0</v>
      </c>
      <c r="V69" s="8">
        <f>'System Parameters Device'!G20</f>
        <v>0</v>
      </c>
      <c r="W69" s="8">
        <f>'System Parameters Device'!H20</f>
        <v>0</v>
      </c>
    </row>
    <row r="70" spans="1:23" ht="13" x14ac:dyDescent="0.15">
      <c r="A70" s="8" t="str">
        <f>'System Parameters Device'!A21</f>
        <v>On</v>
      </c>
      <c r="B70" s="11">
        <f>'System Parameters Device'!B21</f>
        <v>0</v>
      </c>
      <c r="C70" s="8" t="str">
        <f>'System Parameters Device'!C21</f>
        <v>mW</v>
      </c>
      <c r="D70" s="11">
        <f t="shared" si="1"/>
        <v>0</v>
      </c>
      <c r="E70" s="11">
        <f t="shared" si="1"/>
        <v>0</v>
      </c>
      <c r="F70" s="11">
        <f t="shared" si="1"/>
        <v>0</v>
      </c>
      <c r="G70" s="11">
        <f t="shared" si="1"/>
        <v>0</v>
      </c>
      <c r="H70" s="11">
        <f t="shared" si="1"/>
        <v>0</v>
      </c>
      <c r="I70" s="11">
        <f t="shared" si="1"/>
        <v>0</v>
      </c>
      <c r="J70" s="11">
        <f t="shared" si="1"/>
        <v>0</v>
      </c>
      <c r="K70" s="8">
        <f>$B70*0.9</f>
        <v>0</v>
      </c>
      <c r="L70" s="11">
        <f t="shared" si="1"/>
        <v>0</v>
      </c>
      <c r="M70" s="11">
        <f t="shared" si="1"/>
        <v>0</v>
      </c>
      <c r="N70" s="11">
        <f t="shared" si="1"/>
        <v>0</v>
      </c>
      <c r="O70" s="11">
        <f t="shared" si="1"/>
        <v>0</v>
      </c>
      <c r="T70" s="20">
        <f>'System Parameters Device'!E21</f>
        <v>0</v>
      </c>
      <c r="U70" s="20">
        <f>'System Parameters Device'!F21</f>
        <v>0</v>
      </c>
      <c r="V70" s="20">
        <f>'System Parameters Device'!G21</f>
        <v>0</v>
      </c>
      <c r="W70" s="8">
        <f>'System Parameters Device'!H21</f>
        <v>0</v>
      </c>
    </row>
    <row r="71" spans="1:23" ht="13" x14ac:dyDescent="0.15">
      <c r="A71" s="8" t="str">
        <f>'System Parameters Device'!A22</f>
        <v>Off (leakage)</v>
      </c>
      <c r="B71" s="11">
        <f>'System Parameters Device'!B22</f>
        <v>0</v>
      </c>
      <c r="C71" s="8" t="str">
        <f>'System Parameters Device'!C22</f>
        <v>mW</v>
      </c>
      <c r="D71" s="11">
        <f t="shared" si="1"/>
        <v>0</v>
      </c>
      <c r="E71" s="11">
        <f t="shared" si="1"/>
        <v>0</v>
      </c>
      <c r="F71" s="11">
        <f t="shared" si="1"/>
        <v>0</v>
      </c>
      <c r="G71" s="11">
        <f t="shared" si="1"/>
        <v>0</v>
      </c>
      <c r="H71" s="11">
        <f t="shared" si="1"/>
        <v>0</v>
      </c>
      <c r="I71" s="11">
        <f t="shared" si="1"/>
        <v>0</v>
      </c>
      <c r="J71" s="11">
        <f t="shared" si="1"/>
        <v>0</v>
      </c>
      <c r="K71" s="11">
        <f t="shared" si="1"/>
        <v>0</v>
      </c>
      <c r="L71" s="8">
        <f>$B71*0.9</f>
        <v>0</v>
      </c>
      <c r="M71" s="11">
        <f t="shared" si="1"/>
        <v>0</v>
      </c>
      <c r="N71" s="11">
        <f t="shared" si="1"/>
        <v>0</v>
      </c>
      <c r="O71" s="11">
        <f t="shared" si="1"/>
        <v>0</v>
      </c>
      <c r="T71" s="20">
        <f>'System Parameters Device'!E22</f>
        <v>0</v>
      </c>
      <c r="U71" s="20">
        <f>'System Parameters Device'!F22</f>
        <v>0</v>
      </c>
      <c r="V71" s="20">
        <f>'System Parameters Device'!G22</f>
        <v>0</v>
      </c>
      <c r="W71" s="8">
        <f>'System Parameters Device'!H22</f>
        <v>0</v>
      </c>
    </row>
    <row r="72" spans="1:23" ht="13" x14ac:dyDescent="0.15">
      <c r="A72" s="8">
        <f>'System Parameters Device'!A23</f>
        <v>0</v>
      </c>
      <c r="B72" s="8">
        <f>'System Parameters Device'!B23</f>
        <v>0</v>
      </c>
      <c r="C72" s="8">
        <f>'System Parameters Device'!C23</f>
        <v>0</v>
      </c>
      <c r="D72" s="8">
        <f t="shared" si="1"/>
        <v>0</v>
      </c>
      <c r="E72" s="8">
        <f t="shared" si="1"/>
        <v>0</v>
      </c>
      <c r="F72" s="8">
        <f t="shared" si="1"/>
        <v>0</v>
      </c>
      <c r="G72" s="8">
        <f t="shared" si="1"/>
        <v>0</v>
      </c>
      <c r="H72" s="8">
        <f t="shared" si="1"/>
        <v>0</v>
      </c>
      <c r="I72" s="8">
        <f t="shared" si="1"/>
        <v>0</v>
      </c>
      <c r="J72" s="8">
        <f t="shared" si="1"/>
        <v>0</v>
      </c>
      <c r="K72" s="8">
        <f t="shared" si="1"/>
        <v>0</v>
      </c>
      <c r="L72" s="8">
        <f t="shared" si="1"/>
        <v>0</v>
      </c>
      <c r="M72" s="8">
        <f t="shared" si="1"/>
        <v>0</v>
      </c>
      <c r="N72" s="8">
        <f t="shared" si="1"/>
        <v>0</v>
      </c>
      <c r="O72" s="8">
        <f t="shared" si="1"/>
        <v>0</v>
      </c>
      <c r="T72" s="8">
        <f>'System Parameters Device'!E23</f>
        <v>0</v>
      </c>
      <c r="U72" s="8">
        <f>'System Parameters Device'!F23</f>
        <v>0</v>
      </c>
      <c r="V72" s="8">
        <f>'System Parameters Device'!G23</f>
        <v>0</v>
      </c>
      <c r="W72" s="8">
        <f>'System Parameters Device'!H23</f>
        <v>0</v>
      </c>
    </row>
    <row r="73" spans="1:23" ht="13" x14ac:dyDescent="0.15">
      <c r="A73" s="8" t="str">
        <f>'System Parameters Device'!A24</f>
        <v>Radio</v>
      </c>
      <c r="B73" s="8">
        <f>'System Parameters Device'!B24</f>
        <v>0</v>
      </c>
      <c r="C73" s="8">
        <f>'System Parameters Device'!C24</f>
        <v>0</v>
      </c>
      <c r="D73" s="8">
        <f t="shared" si="1"/>
        <v>0</v>
      </c>
      <c r="E73" s="8">
        <f t="shared" si="1"/>
        <v>0</v>
      </c>
      <c r="F73" s="8">
        <f t="shared" si="1"/>
        <v>0</v>
      </c>
      <c r="G73" s="8">
        <f t="shared" si="1"/>
        <v>0</v>
      </c>
      <c r="H73" s="8">
        <f t="shared" si="1"/>
        <v>0</v>
      </c>
      <c r="I73" s="8">
        <f t="shared" si="1"/>
        <v>0</v>
      </c>
      <c r="J73" s="8">
        <f t="shared" si="1"/>
        <v>0</v>
      </c>
      <c r="K73" s="8">
        <f t="shared" si="1"/>
        <v>0</v>
      </c>
      <c r="L73" s="8">
        <f t="shared" si="1"/>
        <v>0</v>
      </c>
      <c r="M73" s="8">
        <f t="shared" si="1"/>
        <v>0</v>
      </c>
      <c r="N73" s="8">
        <f t="shared" si="1"/>
        <v>0</v>
      </c>
      <c r="O73" s="8">
        <f t="shared" si="1"/>
        <v>0</v>
      </c>
      <c r="T73" s="8">
        <f>'System Parameters Device'!E24</f>
        <v>0</v>
      </c>
      <c r="U73" s="8">
        <f>'System Parameters Device'!F24</f>
        <v>0</v>
      </c>
      <c r="V73" s="8">
        <f>'System Parameters Device'!G24</f>
        <v>0</v>
      </c>
      <c r="W73" s="8">
        <f>'System Parameters Device'!H24</f>
        <v>0</v>
      </c>
    </row>
    <row r="74" spans="1:23" ht="13" x14ac:dyDescent="0.15">
      <c r="A74" s="8" t="str">
        <f>'System Parameters Device'!A26</f>
        <v>Standby Power</v>
      </c>
      <c r="B74" s="11">
        <f>'System Parameters Device'!B26</f>
        <v>0</v>
      </c>
      <c r="C74" s="8" t="str">
        <f>'System Parameters Device'!C26</f>
        <v>mW</v>
      </c>
      <c r="D74" s="11">
        <f t="shared" si="1"/>
        <v>0</v>
      </c>
      <c r="E74" s="11">
        <f t="shared" si="1"/>
        <v>0</v>
      </c>
      <c r="F74" s="11">
        <f t="shared" si="1"/>
        <v>0</v>
      </c>
      <c r="G74" s="11">
        <f t="shared" si="1"/>
        <v>0</v>
      </c>
      <c r="H74" s="11">
        <f t="shared" si="1"/>
        <v>0</v>
      </c>
      <c r="I74" s="11">
        <f t="shared" si="1"/>
        <v>0</v>
      </c>
      <c r="J74" s="11">
        <f t="shared" si="1"/>
        <v>0</v>
      </c>
      <c r="K74" s="11">
        <f t="shared" si="1"/>
        <v>0</v>
      </c>
      <c r="L74" s="11">
        <f t="shared" si="1"/>
        <v>0</v>
      </c>
      <c r="M74" s="8">
        <f>$B74*0.9</f>
        <v>0</v>
      </c>
      <c r="N74" s="11">
        <f t="shared" si="1"/>
        <v>0</v>
      </c>
      <c r="O74" s="11">
        <f t="shared" si="1"/>
        <v>0</v>
      </c>
      <c r="T74" s="20">
        <f>'System Parameters Device'!E26</f>
        <v>0</v>
      </c>
      <c r="U74" s="20">
        <f>'System Parameters Device'!F26</f>
        <v>0</v>
      </c>
      <c r="V74" s="20">
        <f>'System Parameters Device'!G26</f>
        <v>0</v>
      </c>
      <c r="W74" s="8">
        <f>'System Parameters Device'!H26</f>
        <v>0</v>
      </c>
    </row>
    <row r="75" spans="1:23" ht="13" x14ac:dyDescent="0.15">
      <c r="A75" s="8" t="str">
        <f>'System Parameters Device'!A27</f>
        <v>TX Power</v>
      </c>
      <c r="B75" s="11">
        <f>'System Parameters Device'!B27</f>
        <v>0</v>
      </c>
      <c r="C75" s="8" t="str">
        <f>'System Parameters Device'!C27</f>
        <v>mW</v>
      </c>
      <c r="D75" s="11">
        <f t="shared" si="1"/>
        <v>0</v>
      </c>
      <c r="E75" s="11">
        <f t="shared" si="1"/>
        <v>0</v>
      </c>
      <c r="F75" s="11">
        <f t="shared" si="1"/>
        <v>0</v>
      </c>
      <c r="G75" s="11">
        <f t="shared" si="1"/>
        <v>0</v>
      </c>
      <c r="H75" s="11">
        <f t="shared" si="1"/>
        <v>0</v>
      </c>
      <c r="I75" s="11">
        <f t="shared" si="1"/>
        <v>0</v>
      </c>
      <c r="J75" s="11">
        <f t="shared" si="1"/>
        <v>0</v>
      </c>
      <c r="K75" s="11">
        <f t="shared" si="1"/>
        <v>0</v>
      </c>
      <c r="L75" s="11">
        <f t="shared" si="1"/>
        <v>0</v>
      </c>
      <c r="M75" s="11">
        <f t="shared" si="1"/>
        <v>0</v>
      </c>
      <c r="N75" s="8">
        <f>$B75*0.9</f>
        <v>0</v>
      </c>
      <c r="O75" s="11">
        <f>$B75</f>
        <v>0</v>
      </c>
      <c r="T75" s="20">
        <f>'System Parameters Device'!E27</f>
        <v>0</v>
      </c>
      <c r="U75" s="20">
        <f>'System Parameters Device'!F27</f>
        <v>0</v>
      </c>
      <c r="V75" s="20">
        <f>'System Parameters Device'!G27</f>
        <v>0</v>
      </c>
      <c r="W75" s="8">
        <f>'System Parameters Device'!H27</f>
        <v>0</v>
      </c>
    </row>
    <row r="76" spans="1:23" ht="13" x14ac:dyDescent="0.15">
      <c r="A76" s="8" t="str">
        <f>'System Parameters Device'!A28</f>
        <v>RX Power</v>
      </c>
      <c r="B76" s="11">
        <f>'System Parameters Device'!B28</f>
        <v>0</v>
      </c>
      <c r="C76" s="8" t="str">
        <f>'System Parameters Device'!C28</f>
        <v>mW</v>
      </c>
      <c r="D76" s="11">
        <f t="shared" si="1"/>
        <v>0</v>
      </c>
      <c r="E76" s="11">
        <f t="shared" si="1"/>
        <v>0</v>
      </c>
      <c r="F76" s="11">
        <f t="shared" si="1"/>
        <v>0</v>
      </c>
      <c r="G76" s="11">
        <f t="shared" si="1"/>
        <v>0</v>
      </c>
      <c r="H76" s="11">
        <f t="shared" si="1"/>
        <v>0</v>
      </c>
      <c r="I76" s="11">
        <f t="shared" si="1"/>
        <v>0</v>
      </c>
      <c r="J76" s="11">
        <f t="shared" si="1"/>
        <v>0</v>
      </c>
      <c r="K76" s="11">
        <f t="shared" si="1"/>
        <v>0</v>
      </c>
      <c r="L76" s="11">
        <f t="shared" si="1"/>
        <v>0</v>
      </c>
      <c r="M76" s="11">
        <f t="shared" si="1"/>
        <v>0</v>
      </c>
      <c r="N76" s="11">
        <f>$B76</f>
        <v>0</v>
      </c>
      <c r="O76" s="8">
        <f>$B76*0.9</f>
        <v>0</v>
      </c>
      <c r="T76" s="20">
        <f>'System Parameters Device'!E28</f>
        <v>0</v>
      </c>
      <c r="U76" s="20">
        <f>'System Parameters Device'!F28</f>
        <v>0</v>
      </c>
      <c r="V76" s="20">
        <f>'System Parameters Device'!G28</f>
        <v>0</v>
      </c>
      <c r="W76" s="8">
        <f>'System Parameters Device'!H28</f>
        <v>0</v>
      </c>
    </row>
    <row r="77" spans="1:23" ht="13" x14ac:dyDescent="0.15">
      <c r="A77" s="8">
        <f>'System Parameters Device'!A29</f>
        <v>0</v>
      </c>
      <c r="B77" s="8">
        <f>'System Parameters Device'!B29</f>
        <v>0</v>
      </c>
      <c r="C77" s="8">
        <f>'System Parameters Device'!C29</f>
        <v>0</v>
      </c>
      <c r="D77" s="8">
        <f>'System Parameters Device'!D29</f>
        <v>0</v>
      </c>
      <c r="T77" s="8">
        <f>'System Parameters Device'!E29</f>
        <v>0</v>
      </c>
      <c r="U77" s="8">
        <f>'System Parameters Device'!F29</f>
        <v>0</v>
      </c>
      <c r="V77" s="8">
        <f>'System Parameters Device'!G29</f>
        <v>0</v>
      </c>
      <c r="W77" s="8">
        <f>'System Parameters Device'!H29</f>
        <v>0</v>
      </c>
    </row>
    <row r="78" spans="1:23" ht="13" x14ac:dyDescent="0.15">
      <c r="A78" s="8">
        <f>'System Parameters Device'!A30</f>
        <v>0</v>
      </c>
      <c r="B78" s="8">
        <f>'System Parameters Device'!B30</f>
        <v>0</v>
      </c>
      <c r="C78" s="8">
        <f>'System Parameters Device'!C30</f>
        <v>0</v>
      </c>
      <c r="D78" s="8">
        <f>'System Parameters Device'!D30</f>
        <v>0</v>
      </c>
      <c r="T78" s="8">
        <f>'System Parameters Device'!E30</f>
        <v>16</v>
      </c>
      <c r="U78" s="8">
        <f>'System Parameters Device'!F30</f>
        <v>8</v>
      </c>
      <c r="V78" s="8">
        <f>'System Parameters Device'!G30</f>
        <v>0</v>
      </c>
      <c r="W78" s="8" t="str">
        <f>'System Parameters Device'!H30</f>
        <v>hours/day typical usage</v>
      </c>
    </row>
    <row r="79" spans="1:23" ht="13" x14ac:dyDescent="0.15">
      <c r="A79" s="8" t="str">
        <f>'System Parameters Device'!A31</f>
        <v>Battery</v>
      </c>
      <c r="B79" s="8">
        <f>'System Parameters Device'!B31</f>
        <v>0</v>
      </c>
      <c r="C79" s="8">
        <f>'System Parameters Device'!C31</f>
        <v>0</v>
      </c>
      <c r="D79" s="8">
        <f>'System Parameters Device'!D31</f>
        <v>0</v>
      </c>
      <c r="T79" s="8">
        <f>'System Parameters Device'!E31</f>
        <v>0</v>
      </c>
      <c r="U79" s="8">
        <f>'System Parameters Device'!F31</f>
        <v>0</v>
      </c>
      <c r="V79" s="8">
        <f>'System Parameters Device'!G31</f>
        <v>0</v>
      </c>
      <c r="W79" s="8">
        <f>'System Parameters Device'!H31</f>
        <v>0</v>
      </c>
    </row>
    <row r="80" spans="1:23" ht="13" x14ac:dyDescent="0.15">
      <c r="A80" s="8" t="str">
        <f>'System Parameters Device'!A32</f>
        <v>Capacity</v>
      </c>
      <c r="B80" s="11">
        <f>'System Parameters Device'!B32</f>
        <v>1000</v>
      </c>
      <c r="C80" s="8" t="str">
        <f>'System Parameters Device'!C32</f>
        <v>mAh</v>
      </c>
      <c r="D80" s="8">
        <f>'System Parameters Device'!D32</f>
        <v>0</v>
      </c>
      <c r="T80" s="8">
        <f>'System Parameters Device'!E32</f>
        <v>0</v>
      </c>
      <c r="U80" s="8">
        <f>'System Parameters Device'!F32</f>
        <v>0</v>
      </c>
      <c r="V80" s="8">
        <f>'System Parameters Device'!G32</f>
        <v>0</v>
      </c>
      <c r="W80" s="8">
        <f>'System Parameters Device'!H32</f>
        <v>0</v>
      </c>
    </row>
    <row r="81" spans="1:23" ht="13" x14ac:dyDescent="0.15">
      <c r="A81" s="8" t="str">
        <f>'System Parameters Device'!A33</f>
        <v>Nominal Voltage</v>
      </c>
      <c r="B81" s="11">
        <f>'System Parameters Device'!B33</f>
        <v>3.7</v>
      </c>
      <c r="C81" s="8" t="str">
        <f>'System Parameters Device'!C33</f>
        <v>V</v>
      </c>
      <c r="D81" s="8">
        <f>'System Parameters Device'!D33</f>
        <v>0</v>
      </c>
      <c r="T81" s="8">
        <f>'System Parameters Device'!E33</f>
        <v>0</v>
      </c>
      <c r="U81" s="8">
        <f>'System Parameters Device'!F33</f>
        <v>0</v>
      </c>
      <c r="V81" s="8">
        <f>'System Parameters Device'!G33</f>
        <v>0</v>
      </c>
      <c r="W81" s="8">
        <f>'System Parameters Device'!H33</f>
        <v>0</v>
      </c>
    </row>
    <row r="82" spans="1:23" ht="13" x14ac:dyDescent="0.15">
      <c r="A82" s="8" t="str">
        <f>'System Parameters Device'!A34</f>
        <v>Regulator Efficiency</v>
      </c>
      <c r="B82" s="20">
        <f>'System Parameters Device'!B34</f>
        <v>0.95</v>
      </c>
      <c r="C82" s="8">
        <f>'System Parameters Device'!C34</f>
        <v>0</v>
      </c>
      <c r="D82" s="8">
        <f>'System Parameters Device'!D34</f>
        <v>0</v>
      </c>
      <c r="T82" s="8">
        <f>'System Parameters Device'!E34</f>
        <v>0</v>
      </c>
      <c r="U82" s="8">
        <f>'System Parameters Device'!F34</f>
        <v>0</v>
      </c>
      <c r="V82" s="8">
        <f>'System Parameters Device'!G34</f>
        <v>0</v>
      </c>
      <c r="W82" s="8">
        <f>'System Parameters Device'!H34</f>
        <v>0</v>
      </c>
    </row>
    <row r="83" spans="1:23" ht="13" x14ac:dyDescent="0.15">
      <c r="A83" s="8">
        <f>'System Parameters Device'!A35</f>
        <v>0</v>
      </c>
      <c r="B83" s="8">
        <f>'System Parameters Device'!B35</f>
        <v>0</v>
      </c>
      <c r="C83" s="8">
        <f>'System Parameters Device'!C35</f>
        <v>0</v>
      </c>
      <c r="D83" s="8">
        <f>'System Parameters Device'!D35</f>
        <v>0</v>
      </c>
      <c r="O83" s="8">
        <f>'System Parameters Device'!E35</f>
        <v>0</v>
      </c>
      <c r="P83" s="8">
        <f>'System Parameters Device'!F35</f>
        <v>0</v>
      </c>
      <c r="Q83" s="8">
        <f>'System Parameters Device'!G35</f>
        <v>0</v>
      </c>
      <c r="R83" s="8">
        <f>'System Parameters Device'!H35</f>
        <v>0</v>
      </c>
      <c r="S83" s="8">
        <f>'System Parameters Device'!I35</f>
        <v>0</v>
      </c>
      <c r="T83" s="8">
        <f>'System Parameters Device'!J35</f>
        <v>0</v>
      </c>
      <c r="U83" s="8" t="e">
        <f t="shared" ref="U83:V86" si="2">#REF!</f>
        <v>#REF!</v>
      </c>
      <c r="V83" s="8" t="e">
        <f t="shared" si="2"/>
        <v>#REF!</v>
      </c>
    </row>
    <row r="84" spans="1:23" ht="13" x14ac:dyDescent="0.15">
      <c r="A84" s="8">
        <f>'System Parameters Device'!A36</f>
        <v>0</v>
      </c>
      <c r="B84" s="8">
        <f>'System Parameters Device'!B36</f>
        <v>0</v>
      </c>
      <c r="C84" s="8">
        <f>'System Parameters Device'!C36</f>
        <v>0</v>
      </c>
      <c r="D84" s="8">
        <f>'System Parameters Device'!D36</f>
        <v>0</v>
      </c>
      <c r="O84" s="8">
        <f>'System Parameters Device'!E36</f>
        <v>0</v>
      </c>
      <c r="P84" s="8">
        <f>'System Parameters Device'!F36</f>
        <v>0</v>
      </c>
      <c r="Q84" s="8">
        <f>'System Parameters Device'!G36</f>
        <v>0</v>
      </c>
      <c r="R84" s="8">
        <f>'System Parameters Device'!H36</f>
        <v>0</v>
      </c>
      <c r="S84" s="8">
        <f>'System Parameters Device'!I36</f>
        <v>0</v>
      </c>
      <c r="T84" s="8">
        <f>'System Parameters Device'!J36</f>
        <v>0</v>
      </c>
      <c r="U84" s="8" t="e">
        <f t="shared" si="2"/>
        <v>#REF!</v>
      </c>
      <c r="V84" s="8" t="e">
        <f t="shared" si="2"/>
        <v>#REF!</v>
      </c>
    </row>
    <row r="85" spans="1:23" ht="13" x14ac:dyDescent="0.15">
      <c r="A85" s="8">
        <f>'System Parameters Device'!A37</f>
        <v>0</v>
      </c>
      <c r="B85" s="8">
        <f>'System Parameters Device'!K24</f>
        <v>0</v>
      </c>
      <c r="C85" s="8">
        <f>'System Parameters Device'!L24</f>
        <v>0</v>
      </c>
      <c r="D85" s="8">
        <f>'System Parameters Device'!M24</f>
        <v>0</v>
      </c>
      <c r="O85" s="8">
        <f>'System Parameters Device'!N24</f>
        <v>0</v>
      </c>
      <c r="P85" s="8">
        <f>'System Parameters Device'!O24</f>
        <v>0</v>
      </c>
      <c r="Q85" s="8">
        <f>'System Parameters Device'!P24</f>
        <v>0</v>
      </c>
      <c r="R85" s="8">
        <f>'System Parameters Device'!Q24</f>
        <v>0</v>
      </c>
      <c r="S85" s="8">
        <f>'System Parameters Device'!I37</f>
        <v>0</v>
      </c>
      <c r="T85" s="8">
        <f>'System Parameters Device'!J37</f>
        <v>0</v>
      </c>
      <c r="U85" s="8" t="e">
        <f t="shared" si="2"/>
        <v>#REF!</v>
      </c>
      <c r="V85" s="8" t="e">
        <f t="shared" si="2"/>
        <v>#REF!</v>
      </c>
    </row>
    <row r="86" spans="1:23" ht="13" x14ac:dyDescent="0.15">
      <c r="A86" s="8" t="str">
        <f>'System Parameters Device'!A38</f>
        <v xml:space="preserve">REFLECTIONS : WHAT DID YOU LEARN FROM ANALYZING YOUR POWER.  TALK ABOUT SOME POTENTIAL TRADEOFFS. </v>
      </c>
      <c r="B86" s="8">
        <f>'System Parameters Device'!K25</f>
        <v>0</v>
      </c>
      <c r="C86" s="8" t="e">
        <f t="shared" ref="C86:D86" si="3">#REF!</f>
        <v>#REF!</v>
      </c>
      <c r="D86" s="8" t="e">
        <f t="shared" si="3"/>
        <v>#REF!</v>
      </c>
      <c r="O86" s="8" t="e">
        <f t="shared" ref="O86:Q86" si="4">#REF!</f>
        <v>#REF!</v>
      </c>
      <c r="P86" s="8" t="e">
        <f t="shared" si="4"/>
        <v>#REF!</v>
      </c>
      <c r="Q86" s="8" t="e">
        <f t="shared" si="4"/>
        <v>#REF!</v>
      </c>
      <c r="R86" s="8">
        <f>'System Parameters Device'!Q25</f>
        <v>0</v>
      </c>
      <c r="S86" s="8">
        <f>'System Parameters Device'!I38</f>
        <v>0</v>
      </c>
      <c r="T86" s="8">
        <f>'System Parameters Device'!J38</f>
        <v>0</v>
      </c>
      <c r="U86" s="8" t="e">
        <f t="shared" si="2"/>
        <v>#REF!</v>
      </c>
      <c r="V86" s="8" t="e">
        <f t="shared" si="2"/>
        <v>#REF!</v>
      </c>
    </row>
    <row r="87" spans="1:23" ht="13" x14ac:dyDescent="0.15">
      <c r="A87" s="8" t="str">
        <f>'System Parameters Device'!L25</f>
        <v>Total power in profile (mw)</v>
      </c>
      <c r="B87" s="8">
        <f>'System Parameters Device'!M25</f>
        <v>0</v>
      </c>
      <c r="C87" s="8">
        <f>'System Parameters Device'!N25</f>
        <v>0</v>
      </c>
      <c r="R87" s="8">
        <f>'System Parameters Device'!Q26</f>
        <v>0</v>
      </c>
      <c r="S87" s="8">
        <f>'System Parameters Device'!I39</f>
        <v>0</v>
      </c>
      <c r="T87" s="8">
        <f>'System Parameters Device'!J39</f>
        <v>0</v>
      </c>
      <c r="U87" s="8">
        <f>'System Parameters Device'!K39</f>
        <v>0</v>
      </c>
      <c r="V87" s="8">
        <f>'System Parameters Device'!L39</f>
        <v>0</v>
      </c>
    </row>
    <row r="88" spans="1:23" ht="13" x14ac:dyDescent="0.15">
      <c r="A88" s="8" t="str">
        <f>'System Parameters Device'!L26</f>
        <v>"off"</v>
      </c>
      <c r="B88" s="8">
        <f>SUMPRODUCT(B56:B76, $T56:$T76)</f>
        <v>0.14499999999999999</v>
      </c>
      <c r="C88" s="8" t="str">
        <f>'System Parameters Device'!N26</f>
        <v>mW</v>
      </c>
      <c r="D88" s="8">
        <f t="shared" ref="D88:O88" si="5">SUMPRODUCT(D56:D76, $T56:$T76)</f>
        <v>0.14499999999999999</v>
      </c>
      <c r="E88" s="8">
        <f t="shared" si="5"/>
        <v>0.14499999999999999</v>
      </c>
      <c r="F88" s="8">
        <f t="shared" si="5"/>
        <v>0.1305</v>
      </c>
      <c r="G88" s="8">
        <f t="shared" si="5"/>
        <v>0.14499999999999999</v>
      </c>
      <c r="H88" s="8">
        <f t="shared" si="5"/>
        <v>0.14499999999999999</v>
      </c>
      <c r="I88" s="8">
        <f t="shared" si="5"/>
        <v>0.14499999999999999</v>
      </c>
      <c r="J88" s="8">
        <f t="shared" si="5"/>
        <v>0.14499999999999999</v>
      </c>
      <c r="K88" s="8">
        <f t="shared" si="5"/>
        <v>0.14499999999999999</v>
      </c>
      <c r="L88" s="8">
        <f t="shared" si="5"/>
        <v>0.14499999999999999</v>
      </c>
      <c r="M88" s="8">
        <f t="shared" si="5"/>
        <v>0.14499999999999999</v>
      </c>
      <c r="N88" s="8">
        <f t="shared" si="5"/>
        <v>0.14499999999999999</v>
      </c>
      <c r="O88" s="8">
        <f t="shared" si="5"/>
        <v>0.14499999999999999</v>
      </c>
      <c r="R88" s="8">
        <f>'System Parameters Device'!Q27</f>
        <v>0</v>
      </c>
      <c r="S88" s="8">
        <f>'System Parameters Device'!I40</f>
        <v>0</v>
      </c>
      <c r="T88" s="8">
        <f>'System Parameters Device'!J40</f>
        <v>0</v>
      </c>
      <c r="U88" s="8">
        <f>'System Parameters Device'!K40</f>
        <v>0</v>
      </c>
      <c r="V88" s="8">
        <f>'System Parameters Device'!L40</f>
        <v>0</v>
      </c>
    </row>
    <row r="89" spans="1:23" ht="13" x14ac:dyDescent="0.15">
      <c r="A89" s="8" t="str">
        <f>'System Parameters Device'!L27</f>
        <v>"sensing"</v>
      </c>
      <c r="B89" s="8">
        <f>SUMPRODUCT(B56:B76,$U56:$U76)</f>
        <v>36.963000000000001</v>
      </c>
      <c r="C89" s="8" t="str">
        <f>'System Parameters Device'!N27</f>
        <v>mW</v>
      </c>
      <c r="D89" s="8">
        <f t="shared" ref="D89:O89" si="6">SUMPRODUCT(D56:D76,$U56:$U76)</f>
        <v>36.339300000000001</v>
      </c>
      <c r="E89" s="8">
        <f t="shared" si="6"/>
        <v>33.894000000000005</v>
      </c>
      <c r="F89" s="8">
        <f t="shared" si="6"/>
        <v>36.963000000000001</v>
      </c>
      <c r="G89" s="8">
        <f t="shared" si="6"/>
        <v>36.963000000000001</v>
      </c>
      <c r="H89" s="8">
        <f t="shared" si="6"/>
        <v>36.959400000000002</v>
      </c>
      <c r="I89" s="8">
        <f t="shared" si="6"/>
        <v>36.963000000000001</v>
      </c>
      <c r="J89" s="8">
        <f t="shared" si="6"/>
        <v>36.963000000000001</v>
      </c>
      <c r="K89" s="8">
        <f t="shared" si="6"/>
        <v>36.963000000000001</v>
      </c>
      <c r="L89" s="8">
        <f t="shared" si="6"/>
        <v>36.963000000000001</v>
      </c>
      <c r="M89" s="8">
        <f t="shared" si="6"/>
        <v>36.963000000000001</v>
      </c>
      <c r="N89" s="8">
        <f t="shared" si="6"/>
        <v>36.963000000000001</v>
      </c>
      <c r="O89" s="8">
        <f t="shared" si="6"/>
        <v>36.963000000000001</v>
      </c>
      <c r="R89" s="8">
        <f>'System Parameters Device'!Q28</f>
        <v>0</v>
      </c>
      <c r="S89" s="8">
        <f>'System Parameters Device'!I41</f>
        <v>0</v>
      </c>
      <c r="T89" s="8">
        <f>'System Parameters Device'!J41</f>
        <v>0</v>
      </c>
      <c r="U89" s="8">
        <f>'System Parameters Device'!K41</f>
        <v>0</v>
      </c>
      <c r="V89" s="8">
        <f>'System Parameters Device'!L41</f>
        <v>0</v>
      </c>
    </row>
    <row r="90" spans="1:23" ht="13" x14ac:dyDescent="0.15">
      <c r="A90" s="8" t="str">
        <f>'System Parameters Device'!L28</f>
        <v>"interactive"</v>
      </c>
      <c r="B90" s="8">
        <f>SUMPRODUCT(B56:B76, $V56:$V76)</f>
        <v>0</v>
      </c>
      <c r="C90" s="8" t="str">
        <f>'System Parameters Device'!N28</f>
        <v>mW</v>
      </c>
      <c r="D90" s="8">
        <f t="shared" ref="D90:O90" si="7">SUMPRODUCT(D56:D76, $V56:$V76)</f>
        <v>0</v>
      </c>
      <c r="E90" s="8">
        <f t="shared" si="7"/>
        <v>0</v>
      </c>
      <c r="F90" s="8">
        <f t="shared" si="7"/>
        <v>0</v>
      </c>
      <c r="G90" s="8">
        <f t="shared" si="7"/>
        <v>0</v>
      </c>
      <c r="H90" s="8">
        <f t="shared" si="7"/>
        <v>0</v>
      </c>
      <c r="I90" s="8">
        <f t="shared" si="7"/>
        <v>0</v>
      </c>
      <c r="J90" s="8">
        <f t="shared" si="7"/>
        <v>0</v>
      </c>
      <c r="K90" s="8">
        <f t="shared" si="7"/>
        <v>0</v>
      </c>
      <c r="L90" s="8">
        <f t="shared" si="7"/>
        <v>0</v>
      </c>
      <c r="M90" s="8">
        <f t="shared" si="7"/>
        <v>0</v>
      </c>
      <c r="N90" s="8">
        <f t="shared" si="7"/>
        <v>0</v>
      </c>
      <c r="O90" s="8">
        <f t="shared" si="7"/>
        <v>0</v>
      </c>
      <c r="R90" s="8">
        <f>'System Parameters Device'!Q29</f>
        <v>0</v>
      </c>
      <c r="S90" s="8">
        <f>'System Parameters Device'!I42</f>
        <v>0</v>
      </c>
      <c r="T90" s="8">
        <f>'System Parameters Device'!J42</f>
        <v>0</v>
      </c>
      <c r="U90" s="8">
        <f>'System Parameters Device'!K42</f>
        <v>0</v>
      </c>
      <c r="V90" s="8">
        <f>'System Parameters Device'!L42</f>
        <v>0</v>
      </c>
    </row>
    <row r="91" spans="1:23" ht="13" x14ac:dyDescent="0.15">
      <c r="A91" s="8">
        <f>'System Parameters Device'!L29</f>
        <v>0</v>
      </c>
      <c r="B91" s="8">
        <f>'System Parameters Device'!M29</f>
        <v>0</v>
      </c>
      <c r="C91" s="8">
        <f>'System Parameters Device'!N29</f>
        <v>0</v>
      </c>
      <c r="D91" s="8">
        <f>'System Parameters Device'!O29</f>
        <v>0</v>
      </c>
      <c r="E91" s="8">
        <f>'System Parameters Device'!P29</f>
        <v>0</v>
      </c>
      <c r="F91" s="8">
        <f>'System Parameters Device'!Q30</f>
        <v>0</v>
      </c>
      <c r="G91" s="8">
        <f>'System Parameters Device'!I43</f>
        <v>0</v>
      </c>
      <c r="H91" s="8">
        <f>'System Parameters Device'!J43</f>
        <v>0</v>
      </c>
      <c r="I91" s="8">
        <f>'System Parameters Device'!K43</f>
        <v>0</v>
      </c>
      <c r="J91" s="8">
        <f>'System Parameters Device'!L43</f>
        <v>0</v>
      </c>
      <c r="K91" s="8">
        <f>'System Parameters Device'!M43</f>
        <v>0</v>
      </c>
      <c r="L91" s="8">
        <f>'System Parameters Device'!N43</f>
        <v>0</v>
      </c>
      <c r="M91" s="8">
        <f>'System Parameters Device'!O43</f>
        <v>0</v>
      </c>
      <c r="N91" s="8">
        <f>'System Parameters Device'!P43</f>
        <v>0</v>
      </c>
      <c r="O91" s="8">
        <f>'System Parameters Device'!Q43</f>
        <v>0</v>
      </c>
      <c r="R91" s="8">
        <f>'System Parameters Device'!Q30</f>
        <v>0</v>
      </c>
      <c r="S91" s="8">
        <f>'System Parameters Device'!I43</f>
        <v>0</v>
      </c>
      <c r="T91" s="8">
        <f>'System Parameters Device'!J43</f>
        <v>0</v>
      </c>
      <c r="U91" s="8">
        <f>'System Parameters Device'!K43</f>
        <v>0</v>
      </c>
      <c r="V91" s="8">
        <f>'System Parameters Device'!L43</f>
        <v>0</v>
      </c>
    </row>
    <row r="92" spans="1:23" ht="13" x14ac:dyDescent="0.15">
      <c r="A92" s="8" t="str">
        <f>'System Parameters Device'!L30</f>
        <v>Effective Battery Capacity</v>
      </c>
      <c r="B92" s="8">
        <f>'System Parameters Device'!M30</f>
        <v>0</v>
      </c>
      <c r="C92" s="8">
        <f>'System Parameters Device'!N30</f>
        <v>0</v>
      </c>
      <c r="D92" s="8">
        <f>'System Parameters Device'!O30</f>
        <v>0</v>
      </c>
      <c r="E92" s="8">
        <f>'System Parameters Device'!P30</f>
        <v>0</v>
      </c>
      <c r="F92" s="8">
        <f>'System Parameters Device'!Q31</f>
        <v>0</v>
      </c>
      <c r="G92" s="8">
        <f>'System Parameters Device'!I44</f>
        <v>0</v>
      </c>
      <c r="H92" s="8">
        <f>'System Parameters Device'!J44</f>
        <v>0</v>
      </c>
      <c r="I92" s="8">
        <f>'System Parameters Device'!K44</f>
        <v>0</v>
      </c>
      <c r="J92" s="8">
        <f>'System Parameters Device'!L44</f>
        <v>0</v>
      </c>
      <c r="K92" s="8">
        <f>'System Parameters Device'!M44</f>
        <v>0</v>
      </c>
      <c r="L92" s="8">
        <f>'System Parameters Device'!N44</f>
        <v>0</v>
      </c>
      <c r="M92" s="8">
        <f>'System Parameters Device'!O44</f>
        <v>0</v>
      </c>
      <c r="N92" s="8">
        <f>'System Parameters Device'!P44</f>
        <v>0</v>
      </c>
      <c r="O92" s="8">
        <f>'System Parameters Device'!Q44</f>
        <v>0</v>
      </c>
      <c r="P92" s="8">
        <f>'System Parameters Device'!O30</f>
        <v>0</v>
      </c>
      <c r="Q92" s="8">
        <f>'System Parameters Device'!P30</f>
        <v>0</v>
      </c>
      <c r="R92" s="8">
        <f>'System Parameters Device'!Q31</f>
        <v>0</v>
      </c>
      <c r="S92" s="8">
        <f>'System Parameters Device'!I44</f>
        <v>0</v>
      </c>
      <c r="T92" s="8">
        <f>'System Parameters Device'!J44</f>
        <v>0</v>
      </c>
      <c r="U92" s="8">
        <f>'System Parameters Device'!K44</f>
        <v>0</v>
      </c>
      <c r="V92" s="8">
        <f>'System Parameters Device'!L44</f>
        <v>0</v>
      </c>
    </row>
    <row r="93" spans="1:23" ht="13" x14ac:dyDescent="0.15">
      <c r="A93" s="8">
        <f>'System Parameters Device'!L31</f>
        <v>0</v>
      </c>
      <c r="B93" s="8">
        <f>B80*B81*B82</f>
        <v>3515</v>
      </c>
      <c r="C93" s="8" t="str">
        <f>'System Parameters Device'!N31</f>
        <v>mW*h</v>
      </c>
      <c r="D93" s="8">
        <f t="shared" ref="D93:O93" si="8">$B93</f>
        <v>3515</v>
      </c>
      <c r="E93" s="8">
        <f t="shared" si="8"/>
        <v>3515</v>
      </c>
      <c r="F93" s="8">
        <f t="shared" si="8"/>
        <v>3515</v>
      </c>
      <c r="G93" s="8">
        <f t="shared" si="8"/>
        <v>3515</v>
      </c>
      <c r="H93" s="8">
        <f t="shared" si="8"/>
        <v>3515</v>
      </c>
      <c r="I93" s="8">
        <f t="shared" si="8"/>
        <v>3515</v>
      </c>
      <c r="J93" s="8">
        <f t="shared" si="8"/>
        <v>3515</v>
      </c>
      <c r="K93" s="8">
        <f t="shared" si="8"/>
        <v>3515</v>
      </c>
      <c r="L93" s="8">
        <f t="shared" si="8"/>
        <v>3515</v>
      </c>
      <c r="M93" s="8">
        <f t="shared" si="8"/>
        <v>3515</v>
      </c>
      <c r="N93" s="8">
        <f t="shared" si="8"/>
        <v>3515</v>
      </c>
      <c r="O93" s="8">
        <f t="shared" si="8"/>
        <v>3515</v>
      </c>
      <c r="P93" s="8">
        <f>'System Parameters Device'!O31</f>
        <v>0</v>
      </c>
      <c r="Q93" s="8">
        <f>'System Parameters Device'!P31</f>
        <v>0</v>
      </c>
      <c r="R93" s="8">
        <f>'System Parameters Device'!Q32</f>
        <v>0</v>
      </c>
      <c r="S93" s="8">
        <f>'System Parameters Device'!I45</f>
        <v>0</v>
      </c>
      <c r="T93" s="8">
        <f>'System Parameters Device'!J45</f>
        <v>0</v>
      </c>
      <c r="U93" s="8">
        <f>'System Parameters Device'!K45</f>
        <v>0</v>
      </c>
      <c r="V93" s="8">
        <f>'System Parameters Device'!L45</f>
        <v>0</v>
      </c>
    </row>
    <row r="94" spans="1:23" ht="13" x14ac:dyDescent="0.15">
      <c r="A94" s="8">
        <f>'System Parameters Device'!L32</f>
        <v>0</v>
      </c>
      <c r="B94" s="8">
        <f>'System Parameters Device'!M32</f>
        <v>0</v>
      </c>
      <c r="C94" s="8">
        <f>'System Parameters Device'!N32</f>
        <v>0</v>
      </c>
      <c r="D94" s="8">
        <f>'System Parameters Device'!O32</f>
        <v>0</v>
      </c>
      <c r="E94" s="8">
        <f>'System Parameters Device'!P32</f>
        <v>0</v>
      </c>
      <c r="F94" s="8">
        <f>'System Parameters Device'!Q33</f>
        <v>0</v>
      </c>
      <c r="G94" s="8">
        <f>'System Parameters Device'!I46</f>
        <v>0</v>
      </c>
      <c r="H94" s="8">
        <f>'System Parameters Device'!J46</f>
        <v>0</v>
      </c>
      <c r="I94" s="8">
        <f>'System Parameters Device'!K46</f>
        <v>0</v>
      </c>
      <c r="J94" s="8">
        <f>'System Parameters Device'!L46</f>
        <v>0</v>
      </c>
      <c r="K94" s="8">
        <f>'System Parameters Device'!M46</f>
        <v>0</v>
      </c>
      <c r="L94" s="8">
        <f>'System Parameters Device'!N46</f>
        <v>0</v>
      </c>
      <c r="M94" s="8">
        <f>'System Parameters Device'!O46</f>
        <v>0</v>
      </c>
      <c r="N94" s="8">
        <f>'System Parameters Device'!P46</f>
        <v>0</v>
      </c>
      <c r="O94" s="8">
        <f>'System Parameters Device'!Q46</f>
        <v>0</v>
      </c>
      <c r="P94" s="8">
        <f>'System Parameters Device'!O32</f>
        <v>0</v>
      </c>
      <c r="Q94" s="8">
        <f>'System Parameters Device'!P32</f>
        <v>0</v>
      </c>
      <c r="R94" s="8">
        <f>'System Parameters Device'!Q33</f>
        <v>0</v>
      </c>
      <c r="S94" s="8">
        <f>'System Parameters Device'!I46</f>
        <v>0</v>
      </c>
      <c r="T94" s="8">
        <f>'System Parameters Device'!J46</f>
        <v>0</v>
      </c>
      <c r="U94" s="8">
        <f>'System Parameters Device'!K46</f>
        <v>0</v>
      </c>
      <c r="V94" s="8">
        <f>'System Parameters Device'!L46</f>
        <v>0</v>
      </c>
    </row>
    <row r="95" spans="1:23" ht="13" x14ac:dyDescent="0.15">
      <c r="A95" s="8" t="str">
        <f>'System Parameters Device'!L33</f>
        <v>Days of Use</v>
      </c>
      <c r="B95" s="8">
        <f>B93/($T78*B88+$U78*B89+$V78*B90)</f>
        <v>11.794352132714144</v>
      </c>
      <c r="C95" s="8" t="str">
        <f>'System Parameters Device'!N33</f>
        <v>days</v>
      </c>
      <c r="D95" s="8">
        <f t="shared" ref="D95:O95" si="9">D93/($T78*D88+$U78*D89+$V78*D90)</f>
        <v>11.99517872304412</v>
      </c>
      <c r="E95" s="8">
        <f t="shared" si="9"/>
        <v>12.853235431780949</v>
      </c>
      <c r="F95" s="8">
        <f t="shared" si="9"/>
        <v>11.803540726413067</v>
      </c>
      <c r="G95" s="8">
        <f t="shared" si="9"/>
        <v>11.794352132714144</v>
      </c>
      <c r="H95" s="8">
        <f t="shared" si="9"/>
        <v>11.79549200792496</v>
      </c>
      <c r="I95" s="8">
        <f t="shared" si="9"/>
        <v>11.794352132714144</v>
      </c>
      <c r="J95" s="8">
        <f t="shared" si="9"/>
        <v>11.794352132714144</v>
      </c>
      <c r="K95" s="8">
        <f t="shared" si="9"/>
        <v>11.794352132714144</v>
      </c>
      <c r="L95" s="8">
        <f t="shared" si="9"/>
        <v>11.794352132714144</v>
      </c>
      <c r="M95" s="8">
        <f t="shared" si="9"/>
        <v>11.794352132714144</v>
      </c>
      <c r="N95" s="8">
        <f t="shared" si="9"/>
        <v>11.794352132714144</v>
      </c>
      <c r="O95" s="8">
        <f t="shared" si="9"/>
        <v>11.794352132714144</v>
      </c>
      <c r="P95" s="8">
        <f>'System Parameters Device'!O33</f>
        <v>0</v>
      </c>
      <c r="Q95" s="8">
        <f>'System Parameters Device'!P33</f>
        <v>0</v>
      </c>
      <c r="R95" s="8">
        <f>'System Parameters Device'!Q34</f>
        <v>0</v>
      </c>
      <c r="S95" s="8">
        <f>'System Parameters Device'!I47</f>
        <v>0</v>
      </c>
      <c r="T95" s="8">
        <f>'System Parameters Device'!J47</f>
        <v>0</v>
      </c>
      <c r="U95" s="8">
        <f>'System Parameters Device'!K47</f>
        <v>0</v>
      </c>
      <c r="V95" s="8">
        <f>'System Parameters Device'!L47</f>
        <v>0</v>
      </c>
    </row>
    <row r="96" spans="1:23" ht="13" x14ac:dyDescent="0.15">
      <c r="A96" s="8" t="str">
        <f>'System Parameters Device'!L34</f>
        <v>Hours of Use</v>
      </c>
      <c r="B96" s="8">
        <f>B95*24</f>
        <v>283.06445118513943</v>
      </c>
      <c r="C96" s="8" t="str">
        <f>'System Parameters Device'!N34</f>
        <v>hours</v>
      </c>
      <c r="D96" s="8">
        <f t="shared" ref="D96:O96" si="10">D95*24</f>
        <v>287.88428935305888</v>
      </c>
      <c r="E96" s="8">
        <f t="shared" si="10"/>
        <v>308.47765036274279</v>
      </c>
      <c r="F96" s="8">
        <f t="shared" si="10"/>
        <v>283.28497743391358</v>
      </c>
      <c r="G96" s="8">
        <f t="shared" si="10"/>
        <v>283.06445118513943</v>
      </c>
      <c r="H96" s="8">
        <f t="shared" si="10"/>
        <v>283.091808190199</v>
      </c>
      <c r="I96" s="8">
        <f t="shared" si="10"/>
        <v>283.06445118513943</v>
      </c>
      <c r="J96" s="8">
        <f t="shared" si="10"/>
        <v>283.06445118513943</v>
      </c>
      <c r="K96" s="8">
        <f t="shared" si="10"/>
        <v>283.06445118513943</v>
      </c>
      <c r="L96" s="8">
        <f t="shared" si="10"/>
        <v>283.06445118513943</v>
      </c>
      <c r="M96" s="8">
        <f t="shared" si="10"/>
        <v>283.06445118513943</v>
      </c>
      <c r="N96" s="8">
        <f t="shared" si="10"/>
        <v>283.06445118513943</v>
      </c>
      <c r="O96" s="8">
        <f t="shared" si="10"/>
        <v>283.06445118513943</v>
      </c>
      <c r="P96" s="8">
        <f>'System Parameters Device'!O34</f>
        <v>0</v>
      </c>
      <c r="Q96" s="8">
        <f>'System Parameters Device'!P34</f>
        <v>0</v>
      </c>
      <c r="R96" s="8">
        <f>'System Parameters Device'!Q35</f>
        <v>0</v>
      </c>
      <c r="S96" s="8">
        <f>'System Parameters Device'!I48</f>
        <v>0</v>
      </c>
      <c r="T96" s="8">
        <f>'System Parameters Device'!J48</f>
        <v>0</v>
      </c>
      <c r="U96" s="8">
        <f>'System Parameters Device'!K48</f>
        <v>0</v>
      </c>
      <c r="V96" s="8">
        <f>'System Parameters Device'!L48</f>
        <v>0</v>
      </c>
    </row>
    <row r="97" spans="1:22" ht="13" x14ac:dyDescent="0.15">
      <c r="A97" s="8">
        <f>'System Parameters Device'!A49</f>
        <v>0</v>
      </c>
      <c r="B97" s="8">
        <f>'System Parameters Device'!K36</f>
        <v>0</v>
      </c>
      <c r="C97" s="8">
        <f>'System Parameters Device'!L36</f>
        <v>0</v>
      </c>
      <c r="D97" s="8">
        <f>'System Parameters Device'!M36</f>
        <v>0</v>
      </c>
      <c r="O97" s="8">
        <f>'System Parameters Device'!N36</f>
        <v>0</v>
      </c>
      <c r="P97" s="8">
        <f>'System Parameters Device'!O36</f>
        <v>0</v>
      </c>
      <c r="Q97" s="8">
        <f>'System Parameters Device'!P36</f>
        <v>0</v>
      </c>
      <c r="R97" s="8">
        <f>'System Parameters Device'!Q36</f>
        <v>0</v>
      </c>
      <c r="S97" s="8">
        <f>'System Parameters Device'!I49</f>
        <v>0</v>
      </c>
      <c r="T97" s="8">
        <f>'System Parameters Device'!J49</f>
        <v>0</v>
      </c>
      <c r="U97" s="8">
        <f>'System Parameters Device'!K49</f>
        <v>0</v>
      </c>
      <c r="V97" s="8">
        <f>'System Parameters Device'!L49</f>
        <v>0</v>
      </c>
    </row>
    <row r="98" spans="1:22" ht="13" x14ac:dyDescent="0.15">
      <c r="A98" s="8" t="s">
        <v>40</v>
      </c>
      <c r="B98" s="8">
        <f>'System Parameters Device'!K37</f>
        <v>0</v>
      </c>
      <c r="C98" s="8">
        <f>'System Parameters Device'!L37</f>
        <v>0</v>
      </c>
      <c r="D98" s="21">
        <f t="shared" ref="D98:O98" si="11">D96/$B96-1</f>
        <v>1.7027352420057262E-2</v>
      </c>
      <c r="E98" s="21">
        <f t="shared" si="11"/>
        <v>8.9778843903580707E-2</v>
      </c>
      <c r="F98" s="21">
        <f t="shared" si="11"/>
        <v>7.7906726842891239E-4</v>
      </c>
      <c r="G98" s="21">
        <f t="shared" si="11"/>
        <v>0</v>
      </c>
      <c r="H98" s="21">
        <f t="shared" si="11"/>
        <v>9.6645852013743649E-5</v>
      </c>
      <c r="I98" s="21">
        <f t="shared" si="11"/>
        <v>0</v>
      </c>
      <c r="J98" s="21">
        <f t="shared" si="11"/>
        <v>0</v>
      </c>
      <c r="K98" s="21">
        <f t="shared" si="11"/>
        <v>0</v>
      </c>
      <c r="L98" s="21">
        <f t="shared" si="11"/>
        <v>0</v>
      </c>
      <c r="M98" s="21">
        <f t="shared" si="11"/>
        <v>0</v>
      </c>
      <c r="N98" s="21">
        <f t="shared" si="11"/>
        <v>0</v>
      </c>
      <c r="O98" s="21">
        <f t="shared" si="11"/>
        <v>0</v>
      </c>
      <c r="P98" s="8">
        <f>'System Parameters Device'!O37</f>
        <v>0</v>
      </c>
      <c r="Q98" s="8">
        <f>'System Parameters Device'!P37</f>
        <v>0</v>
      </c>
      <c r="R98" s="8">
        <f>'System Parameters Device'!Q37</f>
        <v>0</v>
      </c>
      <c r="S98" s="8">
        <f>'System Parameters Device'!I50</f>
        <v>0</v>
      </c>
      <c r="T98" s="8">
        <f>'System Parameters Device'!J50</f>
        <v>0</v>
      </c>
      <c r="U98" s="8">
        <f>'System Parameters Device'!K50</f>
        <v>0</v>
      </c>
      <c r="V98" s="8">
        <f>'System Parameters Device'!L50</f>
        <v>0</v>
      </c>
    </row>
    <row r="99" spans="1:22" ht="13" x14ac:dyDescent="0.15">
      <c r="A99" s="8" t="s">
        <v>41</v>
      </c>
      <c r="B99" s="8">
        <f>'System Parameters Device'!K38</f>
        <v>0</v>
      </c>
      <c r="C99" s="8">
        <f>'System Parameters Device'!L38</f>
        <v>0</v>
      </c>
      <c r="D99" s="8" t="s">
        <v>42</v>
      </c>
      <c r="E99" s="8" t="s">
        <v>43</v>
      </c>
      <c r="F99" s="8" t="s">
        <v>44</v>
      </c>
      <c r="G99" s="8" t="s">
        <v>45</v>
      </c>
      <c r="H99" s="8" t="s">
        <v>46</v>
      </c>
      <c r="I99" s="8" t="s">
        <v>47</v>
      </c>
      <c r="J99" s="8" t="s">
        <v>48</v>
      </c>
      <c r="K99" s="8" t="s">
        <v>49</v>
      </c>
      <c r="L99" s="8" t="s">
        <v>50</v>
      </c>
      <c r="M99" s="8" t="s">
        <v>51</v>
      </c>
      <c r="N99" s="8" t="s">
        <v>52</v>
      </c>
      <c r="O99" s="8" t="s">
        <v>53</v>
      </c>
      <c r="P99" s="8">
        <f>'System Parameters Device'!O38</f>
        <v>0</v>
      </c>
      <c r="Q99" s="8">
        <f>'System Parameters Device'!P38</f>
        <v>0</v>
      </c>
      <c r="R99" s="8">
        <f>'System Parameters Device'!Q38</f>
        <v>0</v>
      </c>
      <c r="S99" s="8">
        <f>'System Parameters Device'!I51</f>
        <v>0</v>
      </c>
      <c r="T99" s="8">
        <f>'System Parameters Device'!J51</f>
        <v>0</v>
      </c>
      <c r="U99" s="8">
        <f>'System Parameters Device'!K51</f>
        <v>0</v>
      </c>
      <c r="V99" s="8">
        <f>'System Parameters Device'!L51</f>
        <v>0</v>
      </c>
    </row>
    <row r="100" spans="1:22" ht="13" x14ac:dyDescent="0.15">
      <c r="A100" s="8">
        <f>'System Parameters Device'!A52</f>
        <v>0</v>
      </c>
      <c r="B100" s="8">
        <f>'System Parameters Device'!B52</f>
        <v>0</v>
      </c>
      <c r="C100" s="8">
        <f>'System Parameters Device'!C52</f>
        <v>0</v>
      </c>
      <c r="D100" s="8">
        <f>'System Parameters Device'!D52</f>
        <v>0</v>
      </c>
      <c r="O100" s="8">
        <f>'System Parameters Device'!E52</f>
        <v>0</v>
      </c>
      <c r="P100" s="8">
        <f>'System Parameters Device'!F52</f>
        <v>0</v>
      </c>
      <c r="Q100" s="8">
        <f>'System Parameters Device'!G52</f>
        <v>0</v>
      </c>
      <c r="R100" s="8">
        <f>'System Parameters Device'!H52</f>
        <v>0</v>
      </c>
      <c r="S100" s="8">
        <f>'System Parameters Device'!I52</f>
        <v>0</v>
      </c>
      <c r="T100" s="8">
        <f>'System Parameters Device'!J52</f>
        <v>0</v>
      </c>
      <c r="U100" s="8">
        <f>'System Parameters Device'!K52</f>
        <v>0</v>
      </c>
      <c r="V100" s="8">
        <f>'System Parameters Device'!L52</f>
        <v>0</v>
      </c>
    </row>
    <row r="101" spans="1:22" ht="13" x14ac:dyDescent="0.15">
      <c r="A101" s="8">
        <f>'System Parameters Device'!A53</f>
        <v>0</v>
      </c>
      <c r="B101" s="8">
        <f>'System Parameters Device'!B53</f>
        <v>0</v>
      </c>
      <c r="C101" s="8">
        <f>'System Parameters Device'!C53</f>
        <v>0</v>
      </c>
      <c r="D101" s="8">
        <f>'System Parameters Device'!D53</f>
        <v>0</v>
      </c>
      <c r="O101" s="8">
        <f>'System Parameters Device'!E53</f>
        <v>0</v>
      </c>
      <c r="P101" s="8">
        <f>'System Parameters Device'!F53</f>
        <v>0</v>
      </c>
      <c r="Q101" s="8">
        <f>'System Parameters Device'!G53</f>
        <v>0</v>
      </c>
      <c r="R101" s="8">
        <f>'System Parameters Device'!H53</f>
        <v>0</v>
      </c>
      <c r="S101" s="8">
        <f>'System Parameters Device'!I53</f>
        <v>0</v>
      </c>
      <c r="T101" s="8">
        <f>'System Parameters Device'!J53</f>
        <v>0</v>
      </c>
      <c r="U101" s="8">
        <f>'System Parameters Device'!K53</f>
        <v>0</v>
      </c>
      <c r="V101" s="8">
        <f>'System Parameters Device'!L53</f>
        <v>0</v>
      </c>
    </row>
    <row r="102" spans="1:22" ht="13" x14ac:dyDescent="0.15">
      <c r="A102" s="8">
        <f>'System Parameters Device'!A54</f>
        <v>0</v>
      </c>
      <c r="B102" s="8">
        <f>'System Parameters Device'!B54</f>
        <v>0</v>
      </c>
      <c r="C102" s="8">
        <f>'System Parameters Device'!C54</f>
        <v>0</v>
      </c>
      <c r="D102" s="8">
        <f>'System Parameters Device'!D54</f>
        <v>0</v>
      </c>
      <c r="O102" s="8">
        <f>'System Parameters Device'!E54</f>
        <v>0</v>
      </c>
      <c r="P102" s="8">
        <f>'System Parameters Device'!F54</f>
        <v>0</v>
      </c>
      <c r="Q102" s="8">
        <f>'System Parameters Device'!G54</f>
        <v>0</v>
      </c>
      <c r="R102" s="8">
        <f>'System Parameters Device'!H54</f>
        <v>0</v>
      </c>
      <c r="S102" s="8">
        <f>'System Parameters Device'!I54</f>
        <v>0</v>
      </c>
      <c r="T102" s="8">
        <f>'System Parameters Device'!J54</f>
        <v>0</v>
      </c>
      <c r="U102" s="8">
        <f>'System Parameters Device'!K54</f>
        <v>0</v>
      </c>
      <c r="V102" s="8">
        <f>'System Parameters Device'!L54</f>
        <v>0</v>
      </c>
    </row>
    <row r="103" spans="1:22" ht="13" x14ac:dyDescent="0.15">
      <c r="A103" s="8">
        <f>'System Parameters Device'!A55</f>
        <v>0</v>
      </c>
      <c r="B103" s="8">
        <f>'System Parameters Device'!B55</f>
        <v>0</v>
      </c>
      <c r="C103" s="8">
        <f>'System Parameters Device'!C55</f>
        <v>0</v>
      </c>
      <c r="D103" s="8">
        <f>'System Parameters Device'!D55</f>
        <v>0</v>
      </c>
      <c r="O103" s="8">
        <f>'System Parameters Device'!E55</f>
        <v>0</v>
      </c>
      <c r="P103" s="8">
        <f>'System Parameters Device'!F55</f>
        <v>0</v>
      </c>
      <c r="Q103" s="8">
        <f>'System Parameters Device'!G55</f>
        <v>0</v>
      </c>
      <c r="R103" s="8">
        <f>'System Parameters Device'!H55</f>
        <v>0</v>
      </c>
      <c r="S103" s="8">
        <f>'System Parameters Device'!I55</f>
        <v>0</v>
      </c>
      <c r="T103" s="8">
        <f>'System Parameters Device'!J55</f>
        <v>0</v>
      </c>
      <c r="U103" s="8">
        <f>'System Parameters Device'!K55</f>
        <v>0</v>
      </c>
      <c r="V103" s="8">
        <f>'System Parameters Device'!L55</f>
        <v>0</v>
      </c>
    </row>
    <row r="104" spans="1:22" ht="13" x14ac:dyDescent="0.15">
      <c r="A104" s="8">
        <f>'System Parameters Device'!A56</f>
        <v>0</v>
      </c>
      <c r="B104" s="8">
        <f>'System Parameters Device'!B56</f>
        <v>0</v>
      </c>
      <c r="C104" s="8">
        <f>'System Parameters Device'!C56</f>
        <v>0</v>
      </c>
      <c r="D104" s="8">
        <f>'System Parameters Device'!D56</f>
        <v>0</v>
      </c>
      <c r="O104" s="8">
        <f>'System Parameters Device'!E56</f>
        <v>0</v>
      </c>
      <c r="P104" s="8">
        <f>'System Parameters Device'!F56</f>
        <v>0</v>
      </c>
      <c r="Q104" s="8">
        <f>'System Parameters Device'!G56</f>
        <v>0</v>
      </c>
      <c r="R104" s="8">
        <f>'System Parameters Device'!H56</f>
        <v>0</v>
      </c>
      <c r="S104" s="8">
        <f>'System Parameters Device'!I56</f>
        <v>0</v>
      </c>
      <c r="T104" s="8">
        <f>'System Parameters Device'!J56</f>
        <v>0</v>
      </c>
      <c r="U104" s="8">
        <f>'System Parameters Device'!K56</f>
        <v>0</v>
      </c>
      <c r="V104" s="8">
        <f>'System Parameters Device'!L56</f>
        <v>0</v>
      </c>
    </row>
    <row r="105" spans="1:22" ht="13" x14ac:dyDescent="0.15">
      <c r="A105" s="8">
        <f>'System Parameters Device'!A57</f>
        <v>0</v>
      </c>
      <c r="B105" s="8">
        <f>'System Parameters Device'!B57</f>
        <v>0</v>
      </c>
      <c r="C105" s="8">
        <f>'System Parameters Device'!C57</f>
        <v>0</v>
      </c>
      <c r="D105" s="8">
        <f>'System Parameters Device'!D57</f>
        <v>0</v>
      </c>
      <c r="O105" s="8">
        <f>'System Parameters Device'!E57</f>
        <v>0</v>
      </c>
      <c r="P105" s="8">
        <f>'System Parameters Device'!F57</f>
        <v>0</v>
      </c>
      <c r="Q105" s="8">
        <f>'System Parameters Device'!G57</f>
        <v>0</v>
      </c>
      <c r="R105" s="8">
        <f>'System Parameters Device'!H57</f>
        <v>0</v>
      </c>
      <c r="S105" s="8">
        <f>'System Parameters Device'!I57</f>
        <v>0</v>
      </c>
      <c r="T105" s="8">
        <f>'System Parameters Device'!J57</f>
        <v>0</v>
      </c>
      <c r="U105" s="8">
        <f>'System Parameters Device'!K57</f>
        <v>0</v>
      </c>
      <c r="V105" s="8">
        <f>'System Parameters Device'!L57</f>
        <v>0</v>
      </c>
    </row>
    <row r="106" spans="1:22" ht="13" x14ac:dyDescent="0.15">
      <c r="A106" s="8">
        <f>'System Parameters Device'!A58</f>
        <v>0</v>
      </c>
      <c r="B106" s="8">
        <f>'System Parameters Device'!B58</f>
        <v>0</v>
      </c>
      <c r="C106" s="8">
        <f>'System Parameters Device'!C58</f>
        <v>0</v>
      </c>
      <c r="D106" s="8">
        <f>'System Parameters Device'!D58</f>
        <v>0</v>
      </c>
      <c r="O106" s="8">
        <f>'System Parameters Device'!E58</f>
        <v>0</v>
      </c>
      <c r="P106" s="8">
        <f>'System Parameters Device'!F58</f>
        <v>0</v>
      </c>
      <c r="Q106" s="8">
        <f>'System Parameters Device'!G58</f>
        <v>0</v>
      </c>
      <c r="R106" s="8">
        <f>'System Parameters Device'!H58</f>
        <v>0</v>
      </c>
      <c r="S106" s="8">
        <f>'System Parameters Device'!I58</f>
        <v>0</v>
      </c>
      <c r="T106" s="8">
        <f>'System Parameters Device'!J58</f>
        <v>0</v>
      </c>
      <c r="U106" s="8">
        <f>'System Parameters Device'!K58</f>
        <v>0</v>
      </c>
      <c r="V106" s="8">
        <f>'System Parameters Device'!L58</f>
        <v>0</v>
      </c>
    </row>
    <row r="107" spans="1:22" ht="13" x14ac:dyDescent="0.15">
      <c r="A107" s="8">
        <f>'System Parameters Device'!A59</f>
        <v>0</v>
      </c>
      <c r="B107" s="8">
        <f>'System Parameters Device'!B59</f>
        <v>0</v>
      </c>
      <c r="C107" s="8">
        <f>'System Parameters Device'!C59</f>
        <v>0</v>
      </c>
      <c r="D107" s="8">
        <f>'System Parameters Device'!D59</f>
        <v>0</v>
      </c>
      <c r="O107" s="8">
        <f>'System Parameters Device'!E59</f>
        <v>0</v>
      </c>
      <c r="P107" s="8">
        <f>'System Parameters Device'!F59</f>
        <v>0</v>
      </c>
      <c r="Q107" s="8">
        <f>'System Parameters Device'!G59</f>
        <v>0</v>
      </c>
      <c r="R107" s="8">
        <f>'System Parameters Device'!H59</f>
        <v>0</v>
      </c>
      <c r="S107" s="8">
        <f>'System Parameters Device'!I59</f>
        <v>0</v>
      </c>
      <c r="T107" s="8">
        <f>'System Parameters Device'!J59</f>
        <v>0</v>
      </c>
      <c r="U107" s="8">
        <f>'System Parameters Device'!K59</f>
        <v>0</v>
      </c>
      <c r="V107" s="8">
        <f>'System Parameters Device'!L59</f>
        <v>0</v>
      </c>
    </row>
    <row r="108" spans="1:22" ht="13" x14ac:dyDescent="0.15">
      <c r="A108" s="8">
        <f>'System Parameters Device'!A60</f>
        <v>0</v>
      </c>
      <c r="B108" s="8">
        <f>'System Parameters Device'!B60</f>
        <v>0</v>
      </c>
      <c r="C108" s="8">
        <f>'System Parameters Device'!C60</f>
        <v>0</v>
      </c>
      <c r="D108" s="8">
        <f>'System Parameters Device'!D60</f>
        <v>0</v>
      </c>
      <c r="O108" s="8">
        <f>'System Parameters Device'!E60</f>
        <v>0</v>
      </c>
      <c r="P108" s="8">
        <f>'System Parameters Device'!F60</f>
        <v>0</v>
      </c>
      <c r="Q108" s="8">
        <f>'System Parameters Device'!G60</f>
        <v>0</v>
      </c>
      <c r="R108" s="8">
        <f>'System Parameters Device'!H60</f>
        <v>0</v>
      </c>
      <c r="S108" s="8">
        <f>'System Parameters Device'!I60</f>
        <v>0</v>
      </c>
      <c r="T108" s="8">
        <f>'System Parameters Device'!J60</f>
        <v>0</v>
      </c>
      <c r="U108" s="8">
        <f>'System Parameters Device'!K60</f>
        <v>0</v>
      </c>
      <c r="V108" s="8">
        <f>'System Parameters Device'!L60</f>
        <v>0</v>
      </c>
    </row>
    <row r="109" spans="1:22" ht="13" x14ac:dyDescent="0.15">
      <c r="A109" s="8">
        <f>'System Parameters Device'!A61</f>
        <v>0</v>
      </c>
      <c r="B109" s="8">
        <f>'System Parameters Device'!B61</f>
        <v>0</v>
      </c>
      <c r="C109" s="8">
        <f>'System Parameters Device'!C61</f>
        <v>0</v>
      </c>
      <c r="D109" s="8">
        <f>'System Parameters Device'!D61</f>
        <v>0</v>
      </c>
      <c r="O109" s="8">
        <f>'System Parameters Device'!E61</f>
        <v>0</v>
      </c>
      <c r="P109" s="8">
        <f>'System Parameters Device'!F61</f>
        <v>0</v>
      </c>
      <c r="Q109" s="8">
        <f>'System Parameters Device'!G61</f>
        <v>0</v>
      </c>
      <c r="R109" s="8">
        <f>'System Parameters Device'!H61</f>
        <v>0</v>
      </c>
      <c r="S109" s="8">
        <f>'System Parameters Device'!I61</f>
        <v>0</v>
      </c>
      <c r="T109" s="8">
        <f>'System Parameters Device'!J61</f>
        <v>0</v>
      </c>
      <c r="U109" s="8">
        <f>'System Parameters Device'!K61</f>
        <v>0</v>
      </c>
      <c r="V109" s="8">
        <f>'System Parameters Device'!L61</f>
        <v>0</v>
      </c>
    </row>
    <row r="110" spans="1:22" ht="13" x14ac:dyDescent="0.15">
      <c r="A110" s="8">
        <f>'System Parameters Device'!A62</f>
        <v>0</v>
      </c>
      <c r="B110" s="8">
        <f>'System Parameters Device'!B62</f>
        <v>0</v>
      </c>
      <c r="C110" s="8">
        <f>'System Parameters Device'!C62</f>
        <v>0</v>
      </c>
      <c r="D110" s="8">
        <f>'System Parameters Device'!D62</f>
        <v>0</v>
      </c>
      <c r="O110" s="8">
        <f>'System Parameters Device'!E62</f>
        <v>0</v>
      </c>
      <c r="P110" s="8">
        <f>'System Parameters Device'!F62</f>
        <v>0</v>
      </c>
      <c r="Q110" s="8">
        <f>'System Parameters Device'!G62</f>
        <v>0</v>
      </c>
      <c r="R110" s="8">
        <f>'System Parameters Device'!H62</f>
        <v>0</v>
      </c>
      <c r="S110" s="8">
        <f>'System Parameters Device'!I62</f>
        <v>0</v>
      </c>
      <c r="T110" s="8">
        <f>'System Parameters Device'!J62</f>
        <v>0</v>
      </c>
      <c r="U110" s="8">
        <f>'System Parameters Device'!K62</f>
        <v>0</v>
      </c>
      <c r="V110" s="8">
        <f>'System Parameters Device'!L62</f>
        <v>0</v>
      </c>
    </row>
    <row r="111" spans="1:22" ht="13" x14ac:dyDescent="0.15">
      <c r="A111" s="8">
        <f>'System Parameters Device'!A63</f>
        <v>0</v>
      </c>
      <c r="B111" s="8">
        <f>'System Parameters Device'!B63</f>
        <v>0</v>
      </c>
      <c r="C111" s="8">
        <f>'System Parameters Device'!C63</f>
        <v>0</v>
      </c>
      <c r="D111" s="8">
        <f>'System Parameters Device'!D63</f>
        <v>0</v>
      </c>
      <c r="O111" s="8">
        <f>'System Parameters Device'!E63</f>
        <v>0</v>
      </c>
      <c r="P111" s="8">
        <f>'System Parameters Device'!F63</f>
        <v>0</v>
      </c>
      <c r="Q111" s="8">
        <f>'System Parameters Device'!G63</f>
        <v>0</v>
      </c>
      <c r="R111" s="8">
        <f>'System Parameters Device'!H63</f>
        <v>0</v>
      </c>
      <c r="S111" s="8">
        <f>'System Parameters Device'!I63</f>
        <v>0</v>
      </c>
      <c r="T111" s="8">
        <f>'System Parameters Device'!J63</f>
        <v>0</v>
      </c>
      <c r="U111" s="8">
        <f>'System Parameters Device'!K63</f>
        <v>0</v>
      </c>
      <c r="V111" s="8">
        <f>'System Parameters Device'!L63</f>
        <v>0</v>
      </c>
    </row>
    <row r="112" spans="1:22" ht="13" x14ac:dyDescent="0.15">
      <c r="A112" s="8">
        <f>'System Parameters Device'!A64</f>
        <v>0</v>
      </c>
      <c r="B112" s="8">
        <f>'System Parameters Device'!B64</f>
        <v>0</v>
      </c>
      <c r="C112" s="8">
        <f>'System Parameters Device'!C64</f>
        <v>0</v>
      </c>
      <c r="D112" s="8">
        <f>'System Parameters Device'!D64</f>
        <v>0</v>
      </c>
      <c r="O112" s="8">
        <f>'System Parameters Device'!E64</f>
        <v>0</v>
      </c>
      <c r="P112" s="8">
        <f>'System Parameters Device'!F64</f>
        <v>0</v>
      </c>
      <c r="Q112" s="8">
        <f>'System Parameters Device'!G64</f>
        <v>0</v>
      </c>
      <c r="R112" s="8">
        <f>'System Parameters Device'!H64</f>
        <v>0</v>
      </c>
      <c r="S112" s="8">
        <f>'System Parameters Device'!I64</f>
        <v>0</v>
      </c>
      <c r="T112" s="8">
        <f>'System Parameters Device'!J64</f>
        <v>0</v>
      </c>
      <c r="U112" s="8">
        <f>'System Parameters Device'!K64</f>
        <v>0</v>
      </c>
      <c r="V112" s="8">
        <f>'System Parameters Device'!L64</f>
        <v>0</v>
      </c>
    </row>
    <row r="113" spans="1:22" ht="13" x14ac:dyDescent="0.15">
      <c r="A113" s="8">
        <f>'System Parameters Device'!A65</f>
        <v>0</v>
      </c>
      <c r="B113" s="8">
        <f>'System Parameters Device'!B65</f>
        <v>0</v>
      </c>
      <c r="C113" s="8">
        <f>'System Parameters Device'!C65</f>
        <v>0</v>
      </c>
      <c r="D113" s="8">
        <f>'System Parameters Device'!D65</f>
        <v>0</v>
      </c>
      <c r="O113" s="8">
        <f>'System Parameters Device'!E65</f>
        <v>0</v>
      </c>
      <c r="P113" s="8">
        <f>'System Parameters Device'!F65</f>
        <v>0</v>
      </c>
      <c r="Q113" s="8">
        <f>'System Parameters Device'!G65</f>
        <v>0</v>
      </c>
      <c r="R113" s="8">
        <f>'System Parameters Device'!H65</f>
        <v>0</v>
      </c>
      <c r="S113" s="8">
        <f>'System Parameters Device'!I65</f>
        <v>0</v>
      </c>
      <c r="T113" s="8">
        <f>'System Parameters Device'!J65</f>
        <v>0</v>
      </c>
      <c r="U113" s="8">
        <f>'System Parameters Device'!K65</f>
        <v>0</v>
      </c>
      <c r="V113" s="8">
        <f>'System Parameters Device'!L65</f>
        <v>0</v>
      </c>
    </row>
    <row r="114" spans="1:22" ht="13" x14ac:dyDescent="0.15">
      <c r="A114" s="8">
        <f>'System Parameters Device'!A66</f>
        <v>0</v>
      </c>
      <c r="B114" s="8">
        <f>'System Parameters Device'!B66</f>
        <v>0</v>
      </c>
      <c r="C114" s="8">
        <f>'System Parameters Device'!C66</f>
        <v>0</v>
      </c>
      <c r="D114" s="8">
        <f>'System Parameters Device'!D66</f>
        <v>0</v>
      </c>
      <c r="O114" s="8">
        <f>'System Parameters Device'!E66</f>
        <v>0</v>
      </c>
      <c r="P114" s="8">
        <f>'System Parameters Device'!F66</f>
        <v>0</v>
      </c>
      <c r="Q114" s="8">
        <f>'System Parameters Device'!G66</f>
        <v>0</v>
      </c>
      <c r="R114" s="8">
        <f>'System Parameters Device'!H66</f>
        <v>0</v>
      </c>
      <c r="S114" s="8">
        <f>'System Parameters Device'!I66</f>
        <v>0</v>
      </c>
      <c r="T114" s="8">
        <f>'System Parameters Device'!J66</f>
        <v>0</v>
      </c>
      <c r="U114" s="8">
        <f>'System Parameters Device'!K66</f>
        <v>0</v>
      </c>
      <c r="V114" s="8">
        <f>'System Parameters Device'!L66</f>
        <v>0</v>
      </c>
    </row>
    <row r="115" spans="1:22" ht="13" x14ac:dyDescent="0.15">
      <c r="A115" s="8">
        <f>'System Parameters Device'!A67</f>
        <v>0</v>
      </c>
      <c r="B115" s="8">
        <f>'System Parameters Device'!B67</f>
        <v>0</v>
      </c>
      <c r="C115" s="8">
        <f>'System Parameters Device'!C67</f>
        <v>0</v>
      </c>
      <c r="D115" s="8">
        <f>'System Parameters Device'!D67</f>
        <v>0</v>
      </c>
      <c r="O115" s="8">
        <f>'System Parameters Device'!E67</f>
        <v>0</v>
      </c>
      <c r="P115" s="8">
        <f>'System Parameters Device'!F67</f>
        <v>0</v>
      </c>
      <c r="Q115" s="8">
        <f>'System Parameters Device'!G67</f>
        <v>0</v>
      </c>
      <c r="R115" s="8">
        <f>'System Parameters Device'!H67</f>
        <v>0</v>
      </c>
      <c r="S115" s="8">
        <f>'System Parameters Device'!I67</f>
        <v>0</v>
      </c>
      <c r="T115" s="8">
        <f>'System Parameters Device'!J67</f>
        <v>0</v>
      </c>
      <c r="U115" s="8">
        <f>'System Parameters Device'!K67</f>
        <v>0</v>
      </c>
      <c r="V115" s="8">
        <f>'System Parameters Device'!L67</f>
        <v>0</v>
      </c>
    </row>
    <row r="116" spans="1:22" ht="13" x14ac:dyDescent="0.15">
      <c r="A116" s="8">
        <f>'System Parameters Device'!A68</f>
        <v>0</v>
      </c>
      <c r="B116" s="8">
        <f>'System Parameters Device'!B68</f>
        <v>0</v>
      </c>
      <c r="C116" s="8">
        <f>'System Parameters Device'!C68</f>
        <v>0</v>
      </c>
      <c r="D116" s="8">
        <f>'System Parameters Device'!D68</f>
        <v>0</v>
      </c>
      <c r="O116" s="8">
        <f>'System Parameters Device'!E68</f>
        <v>0</v>
      </c>
      <c r="P116" s="8">
        <f>'System Parameters Device'!F68</f>
        <v>0</v>
      </c>
      <c r="Q116" s="8">
        <f>'System Parameters Device'!G68</f>
        <v>0</v>
      </c>
      <c r="R116" s="8">
        <f>'System Parameters Device'!H68</f>
        <v>0</v>
      </c>
      <c r="S116" s="8">
        <f>'System Parameters Device'!I68</f>
        <v>0</v>
      </c>
      <c r="T116" s="8">
        <f>'System Parameters Device'!J68</f>
        <v>0</v>
      </c>
      <c r="U116" s="8">
        <f>'System Parameters Device'!K68</f>
        <v>0</v>
      </c>
      <c r="V116" s="8">
        <f>'System Parameters Device'!L68</f>
        <v>0</v>
      </c>
    </row>
    <row r="117" spans="1:22" ht="13" x14ac:dyDescent="0.15">
      <c r="A117" s="8">
        <f>'System Parameters Device'!A69</f>
        <v>0</v>
      </c>
      <c r="B117" s="8">
        <f>'System Parameters Device'!B69</f>
        <v>0</v>
      </c>
      <c r="C117" s="8">
        <f>'System Parameters Device'!C69</f>
        <v>0</v>
      </c>
      <c r="D117" s="8">
        <f>'System Parameters Device'!D69</f>
        <v>0</v>
      </c>
      <c r="O117" s="8">
        <f>'System Parameters Device'!E69</f>
        <v>0</v>
      </c>
      <c r="P117" s="8">
        <f>'System Parameters Device'!F69</f>
        <v>0</v>
      </c>
      <c r="Q117" s="8">
        <f>'System Parameters Device'!G69</f>
        <v>0</v>
      </c>
      <c r="R117" s="8">
        <f>'System Parameters Device'!H69</f>
        <v>0</v>
      </c>
      <c r="S117" s="8">
        <f>'System Parameters Device'!I69</f>
        <v>0</v>
      </c>
      <c r="T117" s="8">
        <f>'System Parameters Device'!J69</f>
        <v>0</v>
      </c>
      <c r="U117" s="8">
        <f>'System Parameters Device'!K69</f>
        <v>0</v>
      </c>
      <c r="V117" s="8">
        <f>'System Parameters Device'!L69</f>
        <v>0</v>
      </c>
    </row>
    <row r="118" spans="1:22" ht="13" x14ac:dyDescent="0.15">
      <c r="A118" s="8">
        <f>'System Parameters Device'!A70</f>
        <v>0</v>
      </c>
      <c r="B118" s="8">
        <f>'System Parameters Device'!B70</f>
        <v>0</v>
      </c>
      <c r="C118" s="8">
        <f>'System Parameters Device'!C70</f>
        <v>0</v>
      </c>
      <c r="D118" s="8">
        <f>'System Parameters Device'!D70</f>
        <v>0</v>
      </c>
      <c r="O118" s="8">
        <f>'System Parameters Device'!E70</f>
        <v>0</v>
      </c>
      <c r="P118" s="8">
        <f>'System Parameters Device'!F70</f>
        <v>0</v>
      </c>
      <c r="Q118" s="8">
        <f>'System Parameters Device'!G70</f>
        <v>0</v>
      </c>
      <c r="R118" s="8">
        <f>'System Parameters Device'!H70</f>
        <v>0</v>
      </c>
      <c r="S118" s="8">
        <f>'System Parameters Device'!I70</f>
        <v>0</v>
      </c>
      <c r="T118" s="8">
        <f>'System Parameters Device'!J70</f>
        <v>0</v>
      </c>
      <c r="U118" s="8">
        <f>'System Parameters Device'!K70</f>
        <v>0</v>
      </c>
      <c r="V118" s="8">
        <f>'System Parameters Device'!L70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 Parameters (Sensor)</vt:lpstr>
      <vt:lpstr>Sensitivity Analysis (Sensor)</vt:lpstr>
      <vt:lpstr>System Parameters Device</vt:lpstr>
      <vt:lpstr>Sensitivity Analysis (Device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sariya dumrongpun</cp:lastModifiedBy>
  <dcterms:created xsi:type="dcterms:W3CDTF">2026-02-08T23:23:08Z</dcterms:created>
  <dcterms:modified xsi:type="dcterms:W3CDTF">2026-02-08T23:23:08Z</dcterms:modified>
</cp:coreProperties>
</file>